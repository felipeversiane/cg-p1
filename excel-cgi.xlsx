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Matrizes" sheetId="2" state="visible" r:id="rId4"/>
    <sheet name="Detalh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K33" authorId="0">
      <text>
        <r>
          <rPr>
            <sz val="10"/>
            <rFont val="Arial"/>
            <family val="2"/>
          </rPr>
          <t xml:space="preserve">Clique no ⓘ para ver a explicação atualizada da visibilidade. No LibreOffice, use Ctrl+clique se necessário.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32</xdr:row>
                <xdr:rowOff>2</xdr:rowOff>
              </xdr:from>
              <xdr:to>
                <xdr:col>12</xdr:col>
                <xdr:colOff>15</xdr:colOff>
                <xdr:row>40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<sst xmlns="http://schemas.openxmlformats.org/spreadsheetml/2006/main" count="209" uniqueCount="173">
  <si>
    <t xml:space="preserve">Calculadora de um triângulo</t>
  </si>
  <si>
    <t xml:space="preserve">Preencha somente as células amarelas.</t>
  </si>
  <si>
    <t xml:space="preserve">As respostas são calculadas automaticamente.</t>
  </si>
  <si>
    <t xml:space="preserve">Pontos do triângulo</t>
  </si>
  <si>
    <t xml:space="preserve">M — transformações do objeto</t>
  </si>
  <si>
    <t xml:space="preserve">Vértice</t>
  </si>
  <si>
    <t xml:space="preserve">x</t>
  </si>
  <si>
    <t xml:space="preserve">y</t>
  </si>
  <si>
    <t xml:space="preserve">z</t>
  </si>
  <si>
    <t xml:space="preserve">A</t>
  </si>
  <si>
    <t xml:space="preserve">B</t>
  </si>
  <si>
    <t xml:space="preserve">C</t>
  </si>
  <si>
    <t xml:space="preserve">Rotação</t>
  </si>
  <si>
    <t xml:space="preserve">MVP — matriz final com câmera</t>
  </si>
  <si>
    <t xml:space="preserve">Eixo</t>
  </si>
  <si>
    <t xml:space="preserve">Z</t>
  </si>
  <si>
    <t xml:space="preserve">Ângulo em graus</t>
  </si>
  <si>
    <t xml:space="preserve">Em relação à</t>
  </si>
  <si>
    <t xml:space="preserve">Centro</t>
  </si>
  <si>
    <t xml:space="preserve">Não pediu rotação? Deixe o eixo em Nenhuma.</t>
  </si>
  <si>
    <t xml:space="preserve">Escala</t>
  </si>
  <si>
    <t xml:space="preserve">Pontos finais no mundo</t>
  </si>
  <si>
    <t xml:space="preserve">Fator</t>
  </si>
  <si>
    <t xml:space="preserve">1 = sem mudança   |   2 = dobro   |   0,5 = metade</t>
  </si>
  <si>
    <t xml:space="preserve">Deslocamento</t>
  </si>
  <si>
    <t xml:space="preserve">w</t>
  </si>
  <si>
    <t xml:space="preserve">Somar às coordenadas</t>
  </si>
  <si>
    <t xml:space="preserve">Pontos normalizados em W</t>
  </si>
  <si>
    <t xml:space="preserve">Não pediu deslocamento? Deixe os três valores em 0.</t>
  </si>
  <si>
    <t xml:space="preserve">Câmera</t>
  </si>
  <si>
    <t xml:space="preserve">Posição do olho</t>
  </si>
  <si>
    <t xml:space="preserve">Apontar para (target)</t>
  </si>
  <si>
    <t xml:space="preserve">Target, se Manual</t>
  </si>
  <si>
    <t xml:space="preserve">Up vector</t>
  </si>
  <si>
    <t xml:space="preserve">Visibilidade</t>
  </si>
  <si>
    <t xml:space="preserve">Centro = centro final do triângulo. Preencha o target manual somente se escolher Manual.</t>
  </si>
  <si>
    <t xml:space="preserve">Projeção</t>
  </si>
  <si>
    <t xml:space="preserve">FOV em graus</t>
  </si>
  <si>
    <t xml:space="preserve">Tipo</t>
  </si>
  <si>
    <t xml:space="preserve">Vertical</t>
  </si>
  <si>
    <t xml:space="preserve">Dentro: todo o triângulo no volume da câmera. Parcialmente: apenas uma parte. Fora: não aparece. Oclusão por outro objeto não é calculada.</t>
  </si>
  <si>
    <t xml:space="preserve">Largura da janela</t>
  </si>
  <si>
    <t xml:space="preserve">Altura</t>
  </si>
  <si>
    <t xml:space="preserve">Near</t>
  </si>
  <si>
    <t xml:space="preserve">Far</t>
  </si>
  <si>
    <t xml:space="preserve">Use os dados da câmera e da janela do enunciado. Se o FOV não disser horizontal ou vertical, confirme a convenção.</t>
  </si>
  <si>
    <t xml:space="preserve">Se precisar apresentar as contas, a aba Matrizes mostra rotação, escala, deslocamento, View, Projection e os produtos intermediários. A configuração continua toda nesta aba.</t>
  </si>
  <si>
    <t xml:space="preserve">Ordem usada: rotação, escala e deslocamento. Centro mantém o próprio centro fixo durante a transformação; Origem usa (0,0,0).</t>
  </si>
  <si>
    <t xml:space="preserve">Matrizes intermediárias</t>
  </si>
  <si>
    <t xml:space="preserve">Preenchimento pela aba Calculadora. Vetores-coluna; projeção OpenGL.</t>
  </si>
  <si>
    <t xml:space="preserve">Pontos iniciais</t>
  </si>
  <si>
    <t xml:space="preserve">Centro inicial</t>
  </si>
  <si>
    <t xml:space="preserve">R — rotação na origem</t>
  </si>
  <si>
    <t xml:space="preserve">Pivô da rotação</t>
  </si>
  <si>
    <t xml:space="preserve">T(−centro da rotação)</t>
  </si>
  <si>
    <t xml:space="preserve">T(+centro da rotação)</t>
  </si>
  <si>
    <t xml:space="preserve">MR — rotação com pivô</t>
  </si>
  <si>
    <t xml:space="preserve">Pontos após rotação</t>
  </si>
  <si>
    <t xml:space="preserve">Centro após rotação</t>
  </si>
  <si>
    <t xml:space="preserve">S — escala na origem</t>
  </si>
  <si>
    <t xml:space="preserve">Pivô da escala</t>
  </si>
  <si>
    <t xml:space="preserve">T(−centro da escala)</t>
  </si>
  <si>
    <t xml:space="preserve">T(+centro da escala)</t>
  </si>
  <si>
    <t xml:space="preserve">MS — escala com pivô</t>
  </si>
  <si>
    <t xml:space="preserve">Pontos após escala</t>
  </si>
  <si>
    <t xml:space="preserve">MS · MR</t>
  </si>
  <si>
    <t xml:space="preserve">T — deslocamento</t>
  </si>
  <si>
    <t xml:space="preserve">M = T · MS · MR</t>
  </si>
  <si>
    <t xml:space="preserve">Olho</t>
  </si>
  <si>
    <t xml:space="preserve">Target utilizado</t>
  </si>
  <si>
    <t xml:space="preserve">f — direção unitária</t>
  </si>
  <si>
    <t xml:space="preserve">s — direita unitária</t>
  </si>
  <si>
    <t xml:space="preserve">u — Up corrigido</t>
  </si>
  <si>
    <t xml:space="preserve">V — câmera (View)</t>
  </si>
  <si>
    <t xml:space="preserve">P — perspectiva</t>
  </si>
  <si>
    <t xml:space="preserve">MV = V · M</t>
  </si>
  <si>
    <t xml:space="preserve">MVP = P · V · M</t>
  </si>
  <si>
    <t xml:space="preserve">Pontos em clip</t>
  </si>
  <si>
    <t xml:space="preserve">Validade</t>
  </si>
  <si>
    <t xml:space="preserve">A ordem aplicada é M = T · MS · MR; o fator mais à direita atua primeiro.</t>
  </si>
  <si>
    <t xml:space="preserve">Near &gt; 0; Far &gt; Near; FOV entre 0° e 180°. NDC usa o intervalo [−1, 1].</t>
  </si>
  <si>
    <t xml:space="preserve">Visibilidade — recorte do triângulo inteiro</t>
  </si>
  <si>
    <t xml:space="preserve">Condição</t>
  </si>
  <si>
    <t xml:space="preserve">x + w</t>
  </si>
  <si>
    <t xml:space="preserve">w − x</t>
  </si>
  <si>
    <t xml:space="preserve">y + w</t>
  </si>
  <si>
    <t xml:space="preserve">w − y</t>
  </si>
  <si>
    <t xml:space="preserve">z + w</t>
  </si>
  <si>
    <t xml:space="preserve">w − z</t>
  </si>
  <si>
    <t xml:space="preserve">Estado</t>
  </si>
  <si>
    <t xml:space="preserve">Limite</t>
  </si>
  <si>
    <t xml:space="preserve">a</t>
  </si>
  <si>
    <t xml:space="preserve">b</t>
  </si>
  <si>
    <t xml:space="preserve">c</t>
  </si>
  <si>
    <t xml:space="preserve">u ≥ 0</t>
  </si>
  <si>
    <t xml:space="preserve">v ≥ 0</t>
  </si>
  <si>
    <t xml:space="preserve">u + v ≤ 1</t>
  </si>
  <si>
    <t xml:space="preserve">Plano 1</t>
  </si>
  <si>
    <t xml:space="preserve">Plano 2</t>
  </si>
  <si>
    <t xml:space="preserve">Plano 3</t>
  </si>
  <si>
    <t xml:space="preserve">Plano 4</t>
  </si>
  <si>
    <t xml:space="preserve">Plano 5</t>
  </si>
  <si>
    <t xml:space="preserve">Plano 6</t>
  </si>
  <si>
    <t xml:space="preserve">Par</t>
  </si>
  <si>
    <t xml:space="preserve">Det.</t>
  </si>
  <si>
    <t xml:space="preserve">u</t>
  </si>
  <si>
    <t xml:space="preserve">v</t>
  </si>
  <si>
    <t xml:space="preserve">Limite 1</t>
  </si>
  <si>
    <t xml:space="preserve">Limite 2</t>
  </si>
  <si>
    <t xml:space="preserve">Limite 3</t>
  </si>
  <si>
    <t xml:space="preserve">Limite 4</t>
  </si>
  <si>
    <t xml:space="preserve">Limite 5</t>
  </si>
  <si>
    <t xml:space="preserve">Limite 6</t>
  </si>
  <si>
    <t xml:space="preserve">Limite 7</t>
  </si>
  <si>
    <t xml:space="preserve">Limite 8</t>
  </si>
  <si>
    <t xml:space="preserve">Limite 9</t>
  </si>
  <si>
    <t xml:space="preserve">Viável</t>
  </si>
  <si>
    <t xml:space="preserve">1 / 2</t>
  </si>
  <si>
    <t xml:space="preserve">1 / 3</t>
  </si>
  <si>
    <t xml:space="preserve">1 / 4</t>
  </si>
  <si>
    <t xml:space="preserve">1 / 5</t>
  </si>
  <si>
    <t xml:space="preserve">1 / 6</t>
  </si>
  <si>
    <t xml:space="preserve">1 / 7</t>
  </si>
  <si>
    <t xml:space="preserve">1 / 8</t>
  </si>
  <si>
    <t xml:space="preserve">1 / 9</t>
  </si>
  <si>
    <t xml:space="preserve">2 / 3</t>
  </si>
  <si>
    <t xml:space="preserve">2 / 4</t>
  </si>
  <si>
    <t xml:space="preserve">2 / 5</t>
  </si>
  <si>
    <t xml:space="preserve">2 / 6</t>
  </si>
  <si>
    <t xml:space="preserve">2 / 7</t>
  </si>
  <si>
    <t xml:space="preserve">2 / 8</t>
  </si>
  <si>
    <t xml:space="preserve">2 / 9</t>
  </si>
  <si>
    <t xml:space="preserve">3 / 4</t>
  </si>
  <si>
    <t xml:space="preserve">3 / 5</t>
  </si>
  <si>
    <t xml:space="preserve">3 / 6</t>
  </si>
  <si>
    <t xml:space="preserve">3 / 7</t>
  </si>
  <si>
    <t xml:space="preserve">3 / 8</t>
  </si>
  <si>
    <t xml:space="preserve">3 / 9</t>
  </si>
  <si>
    <t xml:space="preserve">4 / 5</t>
  </si>
  <si>
    <t xml:space="preserve">4 / 6</t>
  </si>
  <si>
    <t xml:space="preserve">4 / 7</t>
  </si>
  <si>
    <t xml:space="preserve">4 / 8</t>
  </si>
  <si>
    <t xml:space="preserve">4 / 9</t>
  </si>
  <si>
    <t xml:space="preserve">5 / 6</t>
  </si>
  <si>
    <t xml:space="preserve">5 / 7</t>
  </si>
  <si>
    <t xml:space="preserve">5 / 8</t>
  </si>
  <si>
    <t xml:space="preserve">5 / 9</t>
  </si>
  <si>
    <t xml:space="preserve">6 / 7</t>
  </si>
  <si>
    <t xml:space="preserve">6 / 8</t>
  </si>
  <si>
    <t xml:space="preserve">6 / 9</t>
  </si>
  <si>
    <t xml:space="preserve">7 / 8</t>
  </si>
  <si>
    <t xml:space="preserve">7 / 9</t>
  </si>
  <si>
    <t xml:space="preserve">8 / 9</t>
  </si>
  <si>
    <t xml:space="preserve">Por que essa visibilidade?</t>
  </si>
  <si>
    <t xml:space="preserve">Fora (nº)</t>
  </si>
  <si>
    <t xml:space="preserve">Consequência</t>
  </si>
  <si>
    <t xml:space="preserve">Esquerdo</t>
  </si>
  <si>
    <t xml:space="preserve">X/W ≥ −1</t>
  </si>
  <si>
    <t xml:space="preserve">Direito</t>
  </si>
  <si>
    <t xml:space="preserve">X/W ≤ 1</t>
  </si>
  <si>
    <t xml:space="preserve">Inferior</t>
  </si>
  <si>
    <t xml:space="preserve">Y/W ≥ −1</t>
  </si>
  <si>
    <t xml:space="preserve">Superior</t>
  </si>
  <si>
    <t xml:space="preserve">Y/W ≤ 1</t>
  </si>
  <si>
    <t xml:space="preserve">Z/W ≥ −1</t>
  </si>
  <si>
    <t xml:space="preserve">Z/W ≤ 1</t>
  </si>
  <si>
    <t xml:space="preserve">W normalizado</t>
  </si>
  <si>
    <t xml:space="preserve">W/W = 1</t>
  </si>
  <si>
    <t xml:space="preserve">—</t>
  </si>
  <si>
    <t xml:space="preserve">Resultado da divisão</t>
  </si>
  <si>
    <t xml:space="preserve">X aparece duas vezes para testar esquerda e direita; Y, para baixo e cima; Z, para Near e Far. Vermelho destaca valores normalizados fora do intervalo da linha. Os valores são os mesmos da resposta na calculadora.</t>
  </si>
  <si>
    <t xml:space="preserve">Explicação completa de X, Y, Z e W</t>
  </si>
  <si>
    <t xml:space="preserve">Um ponto só está dentro quando X, Y e Z respeitam seus limites ao mesmo tempo. Na borda também é permitido. A classificação considera o triângulo inteiro, inclusive arestas e interior. Oclusão por outro objeto e descarte de faces não são calculados. Tolerância no recorte: 10⁻⁹.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</si>
</sst>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_);_(* \(#,##0.00\);_(* \-??_);_(@_)"/>
    <numFmt numFmtId="166" formatCode="\ * #,##0.00\ ;\ * \(#,##0.00\);\ * \-00\ ;\ @\ "/>
    <numFmt numFmtId="167" formatCode="_(* #,##0_);_(* \(#,##0\);_(* &quot;- _)&quot;;_(@_)"/>
    <numFmt numFmtId="168" formatCode="\ * #,##0\ ;\ * \(#,##0\);\ * &quot;- &quot;;\ @\ "/>
    <numFmt numFmtId="169" formatCode="_(\$* #,##0.00_);_(\$* \(#,##0.00\);_(\$* \-??_);_(@_)"/>
    <numFmt numFmtId="170" formatCode="\$* #,##0.00\ ;\$* \(#,##0.00\);\$* \-00\ ;\ @\ "/>
    <numFmt numFmtId="171" formatCode="_(\$* #,##0_);_(\$* \(#,##0\);_(\$* &quot;- _)&quot;;_(@_)"/>
    <numFmt numFmtId="172" formatCode="\$* #,##0\ ;\$* \(#,##0\);\$* &quot;- &quot;;\ @\ "/>
    <numFmt numFmtId="173" formatCode="0%"/>
    <numFmt numFmtId="174" formatCode="0.000000;\-0.000000;0"/>
    <numFmt numFmtId="175" formatCode="0.000000"/>
    <numFmt numFmtId="176" formatCode="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  <font>
      <sz val="11"/>
      <color rgb="FF172B4D"/>
      <name val="Arial"/>
      <family val="0"/>
    </font>
    <font>
      <b val="true"/>
      <sz val="17"/>
      <color rgb="FF172B4D"/>
      <name val="Arial"/>
      <family val="0"/>
    </font>
    <font>
      <sz val="10"/>
      <color rgb="FF53647B"/>
      <name val="Arial"/>
      <family val="0"/>
    </font>
    <font>
      <b val="true"/>
      <sz val="11"/>
      <color rgb="FFFFFFFF"/>
      <name val="Arial"/>
      <family val="0"/>
    </font>
    <font>
      <b val="true"/>
      <sz val="11"/>
      <color rgb="FF172B4D"/>
      <name val="Arial"/>
      <family val="0"/>
    </font>
    <font>
      <sz val="11"/>
      <color rgb="FF765200"/>
      <name val="Arial"/>
      <family val="0"/>
    </font>
    <font>
      <sz val="12"/>
      <color rgb="FFD5E1F1"/>
      <name val="Arial"/>
      <family val="0"/>
    </font>
    <font>
      <sz val="11"/>
      <color rgb="FF294C7A"/>
      <name val="Arial"/>
      <family val="0"/>
    </font>
    <font>
      <sz val="10"/>
      <color rgb="FF51627A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294C7A"/>
        <bgColor rgb="FF51627A"/>
      </patternFill>
    </fill>
    <fill>
      <patternFill patternType="solid">
        <fgColor rgb="FFEAF0F8"/>
        <bgColor rgb="FFF0F2F5"/>
      </patternFill>
    </fill>
    <fill>
      <patternFill patternType="solid">
        <fgColor rgb="FFFFF1C2"/>
        <bgColor rgb="FFFBE4E4"/>
      </patternFill>
    </fill>
    <fill>
      <patternFill patternType="solid">
        <fgColor rgb="FFF6F8FB"/>
        <bgColor rgb="FFF5F8FC"/>
      </patternFill>
    </fill>
    <fill>
      <patternFill patternType="solid">
        <fgColor rgb="FFF5F8FC"/>
        <bgColor rgb="FFF6F8FB"/>
      </patternFill>
    </fill>
    <fill>
      <patternFill patternType="solid">
        <fgColor rgb="FFFFFFFF"/>
        <bgColor rgb="FFF6F8FB"/>
      </patternFill>
    </fill>
  </fills>
  <borders count="1">
    <border diagonalUp="false" diagonalDown="false">
      <left/>
      <right/>
      <top/>
      <bottom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1" fillId="0" borderId="0" applyFont="true" applyBorder="false" applyAlignment="true" applyProtection="false">
      <alignment horizontal="general" vertical="bottom" textRotation="0" wrapText="false" indent="0" shrinkToFit="false"/>
    </xf>
    <xf numFmtId="166" fontId="1" fillId="0" borderId="0" applyFont="true" applyBorder="false" applyAlignment="true" applyProtection="false">
      <alignment horizontal="general" vertical="bottom" textRotation="0" wrapText="false" indent="0" shrinkToFit="false"/>
    </xf>
    <xf numFmtId="165" fontId="1" fillId="0" borderId="0" applyFont="true" applyBorder="false" applyAlignment="true" applyProtection="false">
      <alignment horizontal="general" vertical="bottom" textRotation="0" wrapText="false" indent="0" shrinkToFit="false"/>
    </xf>
    <xf numFmtId="167" fontId="1" fillId="0" borderId="0" applyFont="true" applyBorder="false" applyAlignment="true" applyProtection="false">
      <alignment horizontal="general" vertical="bottom" textRotation="0" wrapText="false" indent="0" shrinkToFit="false"/>
    </xf>
    <xf numFmtId="168" fontId="1" fillId="0" borderId="0" applyFont="true" applyBorder="false" applyAlignment="true" applyProtection="false">
      <alignment horizontal="general" vertical="bottom" textRotation="0" wrapText="false" indent="0" shrinkToFit="false"/>
    </xf>
    <xf numFmtId="167" fontId="1" fillId="0" borderId="0" applyFont="true" applyBorder="false" applyAlignment="true" applyProtection="false">
      <alignment horizontal="general" vertical="bottom" textRotation="0" wrapText="false" indent="0" shrinkToFit="false"/>
    </xf>
    <xf numFmtId="169" fontId="1" fillId="0" borderId="0" applyFont="true" applyBorder="false" applyAlignment="true" applyProtection="false">
      <alignment horizontal="general" vertical="bottom" textRotation="0" wrapText="false" indent="0" shrinkToFit="false"/>
    </xf>
    <xf numFmtId="170" fontId="1" fillId="0" borderId="0" applyFont="true" applyBorder="false" applyAlignment="true" applyProtection="false">
      <alignment horizontal="general" vertical="bottom" textRotation="0" wrapText="false" indent="0" shrinkToFit="false"/>
    </xf>
    <xf numFmtId="169" fontId="1" fillId="0" borderId="0" applyFont="true" applyBorder="false" applyAlignment="true" applyProtection="false">
      <alignment horizontal="general" vertical="bottom" textRotation="0" wrapText="false" indent="0" shrinkToFit="false"/>
    </xf>
    <xf numFmtId="171" fontId="1" fillId="0" borderId="0" applyFont="true" applyBorder="false" applyAlignment="true" applyProtection="false">
      <alignment horizontal="general" vertical="bottom" textRotation="0" wrapText="false" indent="0" shrinkToFit="false"/>
    </xf>
    <xf numFmtId="172" fontId="1" fillId="0" borderId="0" applyFont="true" applyBorder="false" applyAlignment="true" applyProtection="false">
      <alignment horizontal="general" vertical="bottom" textRotation="0" wrapText="false" indent="0" shrinkToFit="false"/>
    </xf>
    <xf numFmtId="171" fontId="1" fillId="0" borderId="0" applyFont="true" applyBorder="false" applyAlignment="true" applyProtection="false">
      <alignment horizontal="general" vertical="bottom" textRotation="0" wrapText="false" indent="0" shrinkToFit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" fillId="0" borderId="0" applyFont="true" applyBorder="false" applyAlignment="true" applyProtection="false">
      <alignment horizontal="general" vertical="bottom" textRotation="0" wrapText="false" indent="0" shrinkToFit="false"/>
    </xf>
    <xf numFmtId="173" fontId="1" fillId="0" borderId="0" applyFont="true" applyBorder="false" applyAlignment="true" applyProtection="false">
      <alignment horizontal="general" vertical="bottom" textRotation="0" wrapText="false" indent="0" shrinkToFit="false"/>
    </xf>
    <xf numFmtId="173" fontId="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3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3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5" fillId="3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3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3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4" fontId="5" fillId="0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xfId="3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3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" fillId="0" borderId="0" xfId="3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" fillId="0" borderId="0" xfId="3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xfId="3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0" xfId="3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0" xfId="3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32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[0]" xfId="23"/>
    <cellStyle name="Comma [0] 2" xfId="24"/>
    <cellStyle name="Comma [0] 3" xfId="25"/>
    <cellStyle name="Currency" xfId="26"/>
    <cellStyle name="Currency 3" xfId="27"/>
    <cellStyle name="Currency 4" xfId="28"/>
    <cellStyle name="Currency [0]" xfId="29"/>
    <cellStyle name="Currency [0] 4" xfId="30"/>
    <cellStyle name="Currency [0] 5" xfId="31"/>
    <cellStyle name="Normal" xfId="32"/>
    <cellStyle name="Normal 1" xfId="33"/>
    <cellStyle name="Normal 5" xfId="34"/>
    <cellStyle name="Normal 6" xfId="35"/>
    <cellStyle name="Percent" xfId="36"/>
    <cellStyle name="Percent 6" xfId="37"/>
    <cellStyle name="Percent 7" xfId="38"/>
  </cellStyles>
  <dxfs count="15">
    <dxf>
      <font>
        <name val="Arial"/>
        <family val="2"/>
        <color rgb="FF8B94A3"/>
      </font>
      <fill>
        <patternFill>
          <bgColor rgb="FFF0F2F5"/>
        </patternFill>
      </fill>
    </dxf>
    <dxf>
      <font>
        <name val="Arial"/>
        <family val="2"/>
        <color rgb="FF8B94A3"/>
      </font>
      <fill>
        <patternFill>
          <bgColor rgb="FFF0F2F5"/>
        </patternFill>
      </fill>
    </dxf>
    <dxf>
      <font>
        <name val="Arial"/>
        <family val="2"/>
        <color rgb="FF8B94A3"/>
      </font>
      <fill>
        <patternFill>
          <bgColor rgb="FFF0F2F5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  <dxf>
      <font>
        <name val="Arial"/>
        <family val="2"/>
        <b val="1"/>
        <color rgb="FFA32020"/>
      </font>
      <fill>
        <patternFill>
          <bgColor rgb="FFFB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65200"/>
      <rgbColor rgb="FF800080"/>
      <rgbColor rgb="FF008080"/>
      <rgbColor rgb="FFC0C0C0"/>
      <rgbColor rgb="FF8795AA"/>
      <rgbColor rgb="FF9999FF"/>
      <rgbColor rgb="FF993366"/>
      <rgbColor rgb="FFFFF1C2"/>
      <rgbColor rgb="FFEAF0F8"/>
      <rgbColor rgb="FF660066"/>
      <rgbColor rgb="FFFF8080"/>
      <rgbColor rgb="FF0066CC"/>
      <rgbColor rgb="FFD5E1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F5F8FC"/>
      <rgbColor rgb="FFF6F8FB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3647B"/>
      <rgbColor rgb="FF8B94A3"/>
      <rgbColor rgb="FF172B4D"/>
      <rgbColor rgb="FF51627A"/>
      <rgbColor rgb="FF003300"/>
      <rgbColor rgb="FF333300"/>
      <rgbColor rgb="FFA32020"/>
      <rgbColor rgb="FF993366"/>
      <rgbColor rgb="FF294C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4C7A"/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9" activeCellId="0" sqref="N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17"/>
    <col collapsed="false" customWidth="true" hidden="false" outlineLevel="0" max="5" min="4" style="1" width="12"/>
    <col collapsed="false" customWidth="true" hidden="false" outlineLevel="0" max="6" min="6" style="1" width="4"/>
    <col collapsed="false" customWidth="true" hidden="false" outlineLevel="0" max="10" min="7" style="1" width="15"/>
    <col collapsed="false" customWidth="true" hidden="false" outlineLevel="0" max="11" min="11" style="1" width="4"/>
    <col collapsed="false" customWidth="true" hidden="false" outlineLevel="0" max="12" min="12" style="1" width="3"/>
    <col collapsed="false" customWidth="true" hidden="false" outlineLevel="0" max="1024" min="13" style="1" width="8.68"/>
  </cols>
  <sheetData>
    <row r="1" customFormat="false" ht="23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2" hidden="false" customHeight="true" outlineLevel="0" collapsed="false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5" hidden="false" customHeight="true" outlineLevel="0" collapsed="false">
      <c r="A4" s="2"/>
      <c r="B4" s="4" t="s">
        <v>1</v>
      </c>
      <c r="C4" s="4"/>
      <c r="D4" s="4"/>
      <c r="E4" s="4"/>
      <c r="F4" s="2"/>
      <c r="G4" s="4" t="s">
        <v>2</v>
      </c>
      <c r="H4" s="4"/>
      <c r="I4" s="4"/>
      <c r="J4" s="4"/>
      <c r="K4" s="4"/>
      <c r="L4" s="2"/>
    </row>
    <row r="5" customFormat="false" ht="23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25" hidden="false" customHeight="true" outlineLevel="0" collapsed="false">
      <c r="A6" s="2"/>
      <c r="B6" s="5" t="s">
        <v>3</v>
      </c>
      <c r="C6" s="5"/>
      <c r="D6" s="5"/>
      <c r="E6" s="5"/>
      <c r="F6" s="2"/>
      <c r="G6" s="5" t="s">
        <v>4</v>
      </c>
      <c r="H6" s="5"/>
      <c r="I6" s="5"/>
      <c r="J6" s="5"/>
      <c r="K6" s="5"/>
      <c r="L6" s="2"/>
    </row>
    <row r="7" customFormat="false" ht="23" hidden="false" customHeight="true" outlineLevel="0" collapsed="false">
      <c r="A7" s="2"/>
      <c r="B7" s="6" t="s">
        <v>5</v>
      </c>
      <c r="C7" s="6" t="s">
        <v>6</v>
      </c>
      <c r="D7" s="6" t="s">
        <v>7</v>
      </c>
      <c r="E7" s="6" t="s">
        <v>8</v>
      </c>
      <c r="F7" s="2"/>
      <c r="G7" s="7" t="n">
        <f aca="false">IF(Matrizes!$C$107&lt;&gt;"OK","—",Matrizes!B67)</f>
        <v>1</v>
      </c>
      <c r="H7" s="7" t="n">
        <f aca="false">IF(Matrizes!$C$107&lt;&gt;"OK","—",Matrizes!C67)</f>
        <v>-1.73205080756888</v>
      </c>
      <c r="I7" s="7" t="n">
        <f aca="false">IF(Matrizes!$C$107&lt;&gt;"OK","—",Matrizes!D67)</f>
        <v>0</v>
      </c>
      <c r="J7" s="7" t="n">
        <f aca="false">IF(Matrizes!$C$107&lt;&gt;"OK","—",Matrizes!E67)</f>
        <v>5.19615242270663</v>
      </c>
      <c r="K7" s="2"/>
      <c r="L7" s="2"/>
    </row>
    <row r="8" customFormat="false" ht="23" hidden="false" customHeight="true" outlineLevel="0" collapsed="false">
      <c r="A8" s="2"/>
      <c r="B8" s="2" t="s">
        <v>9</v>
      </c>
      <c r="C8" s="8" t="n">
        <v>-2.5</v>
      </c>
      <c r="D8" s="8" t="n">
        <v>-2.5</v>
      </c>
      <c r="E8" s="8" t="n">
        <v>2</v>
      </c>
      <c r="F8" s="2"/>
      <c r="G8" s="7" t="n">
        <f aca="false">IF(Matrizes!$C$107&lt;&gt;"OK","—",Matrizes!B68)</f>
        <v>1.73205080756888</v>
      </c>
      <c r="H8" s="7" t="n">
        <f aca="false">IF(Matrizes!$C$107&lt;&gt;"OK","—",Matrizes!C68)</f>
        <v>1</v>
      </c>
      <c r="I8" s="7" t="n">
        <f aca="false">IF(Matrizes!$C$107&lt;&gt;"OK","—",Matrizes!D68)</f>
        <v>0</v>
      </c>
      <c r="J8" s="7" t="n">
        <f aca="false">IF(Matrizes!$C$107&lt;&gt;"OK","—",Matrizes!E68)</f>
        <v>-0.577350269189627</v>
      </c>
      <c r="K8" s="2"/>
      <c r="L8" s="2"/>
    </row>
    <row r="9" customFormat="false" ht="23" hidden="false" customHeight="true" outlineLevel="0" collapsed="false">
      <c r="A9" s="2"/>
      <c r="B9" s="2" t="s">
        <v>10</v>
      </c>
      <c r="C9" s="8" t="n">
        <v>6</v>
      </c>
      <c r="D9" s="8" t="n">
        <v>9</v>
      </c>
      <c r="E9" s="8" t="n">
        <v>2</v>
      </c>
      <c r="F9" s="2"/>
      <c r="G9" s="7" t="n">
        <f aca="false">IF(Matrizes!$C$107&lt;&gt;"OK","—",Matrizes!B69)</f>
        <v>0</v>
      </c>
      <c r="H9" s="7" t="n">
        <f aca="false">IF(Matrizes!$C$107&lt;&gt;"OK","—",Matrizes!C69)</f>
        <v>0</v>
      </c>
      <c r="I9" s="7" t="n">
        <f aca="false">IF(Matrizes!$C$107&lt;&gt;"OK","—",Matrizes!D69)</f>
        <v>2</v>
      </c>
      <c r="J9" s="7" t="n">
        <f aca="false">IF(Matrizes!$C$107&lt;&gt;"OK","—",Matrizes!E69)</f>
        <v>-2</v>
      </c>
      <c r="K9" s="2"/>
      <c r="L9" s="2"/>
    </row>
    <row r="10" customFormat="false" ht="23" hidden="false" customHeight="true" outlineLevel="0" collapsed="false">
      <c r="A10" s="2"/>
      <c r="B10" s="2" t="s">
        <v>11</v>
      </c>
      <c r="C10" s="8" t="n">
        <v>-2.5</v>
      </c>
      <c r="D10" s="8" t="n">
        <v>2.5</v>
      </c>
      <c r="E10" s="8" t="n">
        <v>2</v>
      </c>
      <c r="F10" s="2"/>
      <c r="G10" s="7" t="n">
        <f aca="false">IF(Matrizes!$C$107&lt;&gt;"OK","—",Matrizes!B70)</f>
        <v>0</v>
      </c>
      <c r="H10" s="7" t="n">
        <f aca="false">IF(Matrizes!$C$107&lt;&gt;"OK","—",Matrizes!C70)</f>
        <v>0</v>
      </c>
      <c r="I10" s="7" t="n">
        <f aca="false">IF(Matrizes!$C$107&lt;&gt;"OK","—",Matrizes!D70)</f>
        <v>0</v>
      </c>
      <c r="J10" s="7" t="n">
        <f aca="false">IF(Matrizes!$C$107&lt;&gt;"OK","—",Matrizes!E70)</f>
        <v>1</v>
      </c>
      <c r="K10" s="2"/>
      <c r="L10" s="2"/>
    </row>
    <row r="11" customFormat="false" ht="23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25" hidden="false" customHeight="true" outlineLevel="0" collapsed="false">
      <c r="A12" s="2"/>
      <c r="B12" s="5" t="s">
        <v>12</v>
      </c>
      <c r="C12" s="5"/>
      <c r="D12" s="5"/>
      <c r="E12" s="5"/>
      <c r="F12" s="2"/>
      <c r="G12" s="5" t="s">
        <v>13</v>
      </c>
      <c r="H12" s="5"/>
      <c r="I12" s="5"/>
      <c r="J12" s="5"/>
      <c r="K12" s="5"/>
      <c r="L12" s="2"/>
    </row>
    <row r="13" customFormat="false" ht="23" hidden="false" customHeight="true" outlineLevel="0" collapsed="false">
      <c r="A13" s="2"/>
      <c r="B13" s="2" t="s">
        <v>14</v>
      </c>
      <c r="C13" s="8" t="s">
        <v>15</v>
      </c>
      <c r="D13" s="2"/>
      <c r="E13" s="2"/>
      <c r="F13" s="2"/>
      <c r="G13" s="7" t="n">
        <f aca="false">IF(Matrizes!$C$107&lt;&gt;"OK","—",Matrizes!B101)</f>
        <v>-0.456122730419653</v>
      </c>
      <c r="H13" s="7" t="n">
        <f aca="false">IF(Matrizes!$C$107&lt;&gt;"OK","—",Matrizes!C101)</f>
        <v>0.790027743573881</v>
      </c>
      <c r="I13" s="7" t="n">
        <f aca="false">IF(Matrizes!$C$107&lt;&gt;"OK","—",Matrizes!D101)</f>
        <v>-2.43265456223815</v>
      </c>
      <c r="J13" s="7" t="n">
        <f aca="false">IF(Matrizes!$C$107&lt;&gt;"OK","—",Matrizes!E101)</f>
        <v>2.64726680389454</v>
      </c>
      <c r="K13" s="2"/>
      <c r="L13" s="2"/>
    </row>
    <row r="14" customFormat="false" ht="23" hidden="false" customHeight="true" outlineLevel="0" collapsed="false">
      <c r="A14" s="2"/>
      <c r="B14" s="2" t="s">
        <v>16</v>
      </c>
      <c r="C14" s="8" t="n">
        <v>60</v>
      </c>
      <c r="D14" s="2"/>
      <c r="E14" s="2"/>
      <c r="F14" s="2"/>
      <c r="G14" s="7" t="n">
        <f aca="false">IF(Matrizes!$C$107&lt;&gt;"OK","—",Matrizes!B102)</f>
        <v>-1.32079490178706</v>
      </c>
      <c r="H14" s="7" t="n">
        <f aca="false">IF(Matrizes!$C$107&lt;&gt;"OK","—",Matrizes!C102)</f>
        <v>2.96482397431707</v>
      </c>
      <c r="I14" s="7" t="n">
        <f aca="false">IF(Matrizes!$C$107&lt;&gt;"OK","—",Matrizes!D102)</f>
        <v>1.21050387390047</v>
      </c>
      <c r="J14" s="7" t="n">
        <f aca="false">IF(Matrizes!$C$107&lt;&gt;"OK","—",Matrizes!E102)</f>
        <v>-10.8752147034898</v>
      </c>
      <c r="K14" s="2"/>
      <c r="L14" s="2"/>
    </row>
    <row r="15" customFormat="false" ht="23" hidden="false" customHeight="true" outlineLevel="0" collapsed="false">
      <c r="A15" s="2"/>
      <c r="B15" s="2" t="s">
        <v>17</v>
      </c>
      <c r="C15" s="8" t="s">
        <v>18</v>
      </c>
      <c r="D15" s="2"/>
      <c r="E15" s="2"/>
      <c r="F15" s="2"/>
      <c r="G15" s="7" t="n">
        <f aca="false">IF(Matrizes!$C$107&lt;&gt;"OK","—",Matrizes!B103)</f>
        <v>-1.96654471756901</v>
      </c>
      <c r="H15" s="7" t="n">
        <f aca="false">IF(Matrizes!$C$107&lt;&gt;"OK","—",Matrizes!C103)</f>
        <v>-0.906431277497832</v>
      </c>
      <c r="I15" s="7" t="n">
        <f aca="false">IF(Matrizes!$C$107&lt;&gt;"OK","—",Matrizes!D103)</f>
        <v>0.0743549421324749</v>
      </c>
      <c r="J15" s="7" t="n">
        <f aca="false">IF(Matrizes!$C$107&lt;&gt;"OK","—",Matrizes!E103)</f>
        <v>32.7105692861056</v>
      </c>
      <c r="K15" s="2"/>
      <c r="L15" s="2"/>
    </row>
    <row r="16" customFormat="false" ht="25" hidden="false" customHeight="true" outlineLevel="0" collapsed="false">
      <c r="A16" s="2"/>
      <c r="B16" s="4" t="s">
        <v>19</v>
      </c>
      <c r="C16" s="4"/>
      <c r="D16" s="4"/>
      <c r="E16" s="4"/>
      <c r="F16" s="2"/>
      <c r="G16" s="7" t="n">
        <f aca="false">IF(Matrizes!$C$107&lt;&gt;"OK","—",Matrizes!B104)</f>
        <v>-1.81527204698678</v>
      </c>
      <c r="H16" s="7" t="n">
        <f aca="false">IF(Matrizes!$C$107&lt;&gt;"OK","—",Matrizes!C104)</f>
        <v>-0.836705794613384</v>
      </c>
      <c r="I16" s="7" t="n">
        <f aca="false">IF(Matrizes!$C$107&lt;&gt;"OK","—",Matrizes!D104)</f>
        <v>0.0686353311992076</v>
      </c>
      <c r="J16" s="7" t="n">
        <f aca="false">IF(Matrizes!$C$107&lt;&gt;"OK","—",Matrizes!E104)</f>
        <v>32.1174485717898</v>
      </c>
      <c r="K16" s="2"/>
      <c r="L16" s="2"/>
    </row>
    <row r="17" customFormat="false" ht="23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" hidden="false" customHeight="true" outlineLevel="0" collapsed="false">
      <c r="A18" s="2"/>
      <c r="B18" s="5" t="s">
        <v>20</v>
      </c>
      <c r="C18" s="5"/>
      <c r="D18" s="5"/>
      <c r="E18" s="5"/>
      <c r="F18" s="2"/>
      <c r="G18" s="5" t="s">
        <v>21</v>
      </c>
      <c r="H18" s="5"/>
      <c r="I18" s="5"/>
      <c r="J18" s="5"/>
      <c r="K18" s="5"/>
      <c r="L18" s="2"/>
    </row>
    <row r="19" customFormat="false" ht="23" hidden="false" customHeight="true" outlineLevel="0" collapsed="false">
      <c r="A19" s="2"/>
      <c r="B19" s="2" t="s">
        <v>22</v>
      </c>
      <c r="C19" s="8" t="n">
        <v>2</v>
      </c>
      <c r="D19" s="2"/>
      <c r="E19" s="2"/>
      <c r="F19" s="2"/>
      <c r="G19" s="6" t="s">
        <v>9</v>
      </c>
      <c r="H19" s="6" t="s">
        <v>10</v>
      </c>
      <c r="I19" s="6" t="s">
        <v>11</v>
      </c>
      <c r="J19" s="2"/>
      <c r="K19" s="2"/>
      <c r="L19" s="2"/>
    </row>
    <row r="20" customFormat="false" ht="23" hidden="false" customHeight="true" outlineLevel="0" collapsed="false">
      <c r="A20" s="2"/>
      <c r="B20" s="2" t="s">
        <v>17</v>
      </c>
      <c r="C20" s="8" t="s">
        <v>18</v>
      </c>
      <c r="D20" s="2"/>
      <c r="E20" s="2"/>
      <c r="F20" s="2"/>
      <c r="G20" s="7" t="n">
        <f aca="false">IF(Matrizes!$C$107&lt;&gt;"OK","—",Matrizes!G67)</f>
        <v>7.02627944162882</v>
      </c>
      <c r="H20" s="7" t="n">
        <f aca="false">IF(Matrizes!$C$107&lt;&gt;"OK","—",Matrizes!H67)</f>
        <v>-4.39230484541326</v>
      </c>
      <c r="I20" s="7" t="n">
        <f aca="false">IF(Matrizes!$C$107&lt;&gt;"OK","—",Matrizes!I67)</f>
        <v>-1.63397459621556</v>
      </c>
      <c r="J20" s="2" t="s">
        <v>6</v>
      </c>
      <c r="K20" s="2"/>
      <c r="L20" s="2"/>
    </row>
    <row r="21" customFormat="false" ht="25" hidden="false" customHeight="true" outlineLevel="0" collapsed="false">
      <c r="A21" s="2"/>
      <c r="B21" s="4" t="s">
        <v>23</v>
      </c>
      <c r="C21" s="4"/>
      <c r="D21" s="4"/>
      <c r="E21" s="4"/>
      <c r="F21" s="2"/>
      <c r="G21" s="7" t="n">
        <f aca="false">IF(Matrizes!$C$107&lt;&gt;"OK","—",Matrizes!G68)</f>
        <v>-7.40747728811182</v>
      </c>
      <c r="H21" s="7" t="n">
        <f aca="false">IF(Matrizes!$C$107&lt;&gt;"OK","—",Matrizes!H68)</f>
        <v>18.8149545762236</v>
      </c>
      <c r="I21" s="7" t="n">
        <f aca="false">IF(Matrizes!$C$107&lt;&gt;"OK","—",Matrizes!I68)</f>
        <v>-2.40747728811182</v>
      </c>
      <c r="J21" s="2" t="s">
        <v>7</v>
      </c>
      <c r="K21" s="2"/>
      <c r="L21" s="2"/>
    </row>
    <row r="22" customFormat="false" ht="23" hidden="false" customHeight="true" outlineLevel="0" collapsed="false">
      <c r="A22" s="2"/>
      <c r="B22" s="2"/>
      <c r="C22" s="2"/>
      <c r="D22" s="2"/>
      <c r="E22" s="2"/>
      <c r="F22" s="2"/>
      <c r="G22" s="7" t="n">
        <f aca="false">IF(Matrizes!$C$107&lt;&gt;"OK","—",Matrizes!G69)</f>
        <v>2</v>
      </c>
      <c r="H22" s="7" t="n">
        <f aca="false">IF(Matrizes!$C$107&lt;&gt;"OK","—",Matrizes!H69)</f>
        <v>2</v>
      </c>
      <c r="I22" s="7" t="n">
        <f aca="false">IF(Matrizes!$C$107&lt;&gt;"OK","—",Matrizes!I69)</f>
        <v>2</v>
      </c>
      <c r="J22" s="2" t="s">
        <v>8</v>
      </c>
      <c r="K22" s="2"/>
      <c r="L22" s="2"/>
    </row>
    <row r="23" customFormat="false" ht="25" hidden="false" customHeight="true" outlineLevel="0" collapsed="false">
      <c r="A23" s="2"/>
      <c r="B23" s="5" t="s">
        <v>24</v>
      </c>
      <c r="C23" s="5"/>
      <c r="D23" s="5"/>
      <c r="E23" s="5"/>
      <c r="F23" s="2"/>
      <c r="G23" s="7" t="n">
        <f aca="false">IF(Matrizes!$C$107&lt;&gt;"OK","—",Matrizes!G70)</f>
        <v>1</v>
      </c>
      <c r="H23" s="7" t="n">
        <f aca="false">IF(Matrizes!$C$107&lt;&gt;"OK","—",Matrizes!H70)</f>
        <v>1</v>
      </c>
      <c r="I23" s="7" t="n">
        <f aca="false">IF(Matrizes!$C$107&lt;&gt;"OK","—",Matrizes!I70)</f>
        <v>1</v>
      </c>
      <c r="J23" s="2" t="s">
        <v>25</v>
      </c>
      <c r="K23" s="2"/>
      <c r="L23" s="2"/>
    </row>
    <row r="24" customFormat="false" ht="23" hidden="false" customHeight="true" outlineLevel="0" collapsed="false">
      <c r="A24" s="2"/>
      <c r="B24" s="2"/>
      <c r="C24" s="6" t="s">
        <v>6</v>
      </c>
      <c r="D24" s="6" t="s">
        <v>7</v>
      </c>
      <c r="E24" s="6" t="s">
        <v>8</v>
      </c>
      <c r="F24" s="2"/>
      <c r="G24" s="2"/>
      <c r="H24" s="2"/>
      <c r="I24" s="2"/>
      <c r="J24" s="2"/>
      <c r="K24" s="2"/>
      <c r="L24" s="2"/>
    </row>
    <row r="25" customFormat="false" ht="25" hidden="false" customHeight="true" outlineLevel="0" collapsed="false">
      <c r="A25" s="2"/>
      <c r="B25" s="2" t="s">
        <v>26</v>
      </c>
      <c r="C25" s="8" t="n">
        <v>0</v>
      </c>
      <c r="D25" s="8" t="n">
        <v>0</v>
      </c>
      <c r="E25" s="8" t="n">
        <v>0</v>
      </c>
      <c r="F25" s="2"/>
      <c r="G25" s="5" t="s">
        <v>27</v>
      </c>
      <c r="H25" s="5"/>
      <c r="I25" s="5"/>
      <c r="J25" s="5"/>
      <c r="K25" s="5"/>
      <c r="L25" s="2"/>
    </row>
    <row r="26" customFormat="false" ht="25" hidden="false" customHeight="true" outlineLevel="0" collapsed="false">
      <c r="A26" s="2"/>
      <c r="B26" s="4" t="s">
        <v>28</v>
      </c>
      <c r="C26" s="4"/>
      <c r="D26" s="4"/>
      <c r="E26" s="4"/>
      <c r="F26" s="2"/>
      <c r="G26" s="6" t="s">
        <v>9</v>
      </c>
      <c r="H26" s="6" t="s">
        <v>10</v>
      </c>
      <c r="I26" s="6" t="s">
        <v>11</v>
      </c>
      <c r="J26" s="2"/>
      <c r="K26" s="2"/>
      <c r="L26" s="2"/>
    </row>
    <row r="27" customFormat="false" ht="23" hidden="false" customHeight="true" outlineLevel="0" collapsed="false">
      <c r="A27" s="2"/>
      <c r="B27" s="2"/>
      <c r="C27" s="2"/>
      <c r="D27" s="2"/>
      <c r="E27" s="2"/>
      <c r="F27" s="2"/>
      <c r="G27" s="7" t="n">
        <f aca="false">IF(Matrizes!$C$107&lt;&gt;"OK","—",IF(Matrizes!G104=0,"W = 0",Matrizes!G101/IF(Matrizes!G104=0,1,Matrizes!G104)))</f>
        <v>-0.0785092258009743</v>
      </c>
      <c r="H27" s="7" t="n">
        <f aca="false">IF(Matrizes!$C$107&lt;&gt;"OK","—",IF(Matrizes!H104=0,"W = 0",Matrizes!H101/IF(Matrizes!H104=0,1,Matrizes!H104)))</f>
        <v>0.155823922030865</v>
      </c>
      <c r="I27" s="7" t="n">
        <f aca="false">IF(Matrizes!$C$107&lt;&gt;"OK","—",IF(Matrizes!I104=0,"W = 0",Matrizes!I101/IF(Matrizes!I104=0,1,Matrizes!I104)))</f>
        <v>0.025858919827547</v>
      </c>
      <c r="J27" s="2" t="s">
        <v>6</v>
      </c>
      <c r="K27" s="2"/>
      <c r="L27" s="2"/>
    </row>
    <row r="28" customFormat="false" ht="25" hidden="false" customHeight="true" outlineLevel="0" collapsed="false">
      <c r="A28" s="2"/>
      <c r="B28" s="5" t="s">
        <v>29</v>
      </c>
      <c r="C28" s="5"/>
      <c r="D28" s="5"/>
      <c r="E28" s="5"/>
      <c r="F28" s="2"/>
      <c r="G28" s="7" t="n">
        <f aca="false">IF(Matrizes!$C$107&lt;&gt;"OK","—",IF(Matrizes!G104=0,"W = 0",Matrizes!G102/IF(Matrizes!G104=0,1,Matrizes!G104)))</f>
        <v>-0.323116581110173</v>
      </c>
      <c r="H28" s="7" t="n">
        <f aca="false">IF(Matrizes!$C$107&lt;&gt;"OK","—",IF(Matrizes!H104=0,"W = 0",Matrizes!H102/IF(Matrizes!H104=0,1,Matrizes!H104)))</f>
        <v>0.744931465171002</v>
      </c>
      <c r="I28" s="7" t="n">
        <f aca="false">IF(Matrizes!$C$107&lt;&gt;"OK","—",IF(Matrizes!I104=0,"W = 0",Matrizes!I102/IF(Matrizes!I104=0,1,Matrizes!I104)))</f>
        <v>0.065122948957005</v>
      </c>
      <c r="J28" s="2" t="s">
        <v>7</v>
      </c>
      <c r="K28" s="2"/>
      <c r="L28" s="2"/>
    </row>
    <row r="29" customFormat="false" ht="23" hidden="false" customHeight="true" outlineLevel="0" collapsed="false">
      <c r="A29" s="2"/>
      <c r="B29" s="2"/>
      <c r="C29" s="6" t="s">
        <v>6</v>
      </c>
      <c r="D29" s="6" t="s">
        <v>7</v>
      </c>
      <c r="E29" s="6" t="s">
        <v>8</v>
      </c>
      <c r="F29" s="2"/>
      <c r="G29" s="7" t="n">
        <f aca="false">IF(Matrizes!$C$107&lt;&gt;"OK","—",IF(Matrizes!G104=0,"W = 0",Matrizes!G103/IF(Matrizes!G104=0,1,Matrizes!G104)))</f>
        <v>1.0297560839066</v>
      </c>
      <c r="H29" s="7" t="n">
        <f aca="false">IF(Matrizes!$C$107&lt;&gt;"OK","—",IF(Matrizes!H104=0,"W = 0",Matrizes!H103/IF(Matrizes!H104=0,1,Matrizes!H104)))</f>
        <v>0.932724407235739</v>
      </c>
      <c r="I29" s="7" t="n">
        <f aca="false">IF(Matrizes!$C$107&lt;&gt;"OK","—",IF(Matrizes!I104=0,"W = 0",Matrizes!I103/IF(Matrizes!I104=0,1,Matrizes!I104)))</f>
        <v>1.02329687223686</v>
      </c>
      <c r="J29" s="2" t="s">
        <v>8</v>
      </c>
      <c r="K29" s="2"/>
      <c r="L29" s="2"/>
    </row>
    <row r="30" customFormat="false" ht="23" hidden="false" customHeight="true" outlineLevel="0" collapsed="false">
      <c r="A30" s="2"/>
      <c r="B30" s="2" t="s">
        <v>30</v>
      </c>
      <c r="C30" s="8" t="n">
        <v>3</v>
      </c>
      <c r="D30" s="8" t="n">
        <v>32</v>
      </c>
      <c r="E30" s="8" t="n">
        <v>1</v>
      </c>
      <c r="F30" s="2"/>
      <c r="G30" s="7" t="n">
        <f aca="false">IF(Matrizes!$C$107&lt;&gt;"OK","—",IF(Matrizes!G104=0,"W = 0",Matrizes!G104/IF(Matrizes!G104=0,1,Matrizes!G104)))</f>
        <v>1</v>
      </c>
      <c r="H30" s="7" t="n">
        <f aca="false">IF(Matrizes!$C$107&lt;&gt;"OK","—",IF(Matrizes!H104=0,"W = 0",Matrizes!H104/IF(Matrizes!H104=0,1,Matrizes!H104)))</f>
        <v>1</v>
      </c>
      <c r="I30" s="7" t="n">
        <f aca="false">IF(Matrizes!$C$107&lt;&gt;"OK","—",IF(Matrizes!I104=0,"W = 0",Matrizes!I104/IF(Matrizes!I104=0,1,Matrizes!I104)))</f>
        <v>1</v>
      </c>
      <c r="J30" s="2" t="s">
        <v>25</v>
      </c>
      <c r="K30" s="2"/>
      <c r="L30" s="2"/>
    </row>
    <row r="31" customFormat="false" ht="23" hidden="false" customHeight="true" outlineLevel="0" collapsed="false">
      <c r="A31" s="2"/>
      <c r="B31" s="2" t="s">
        <v>31</v>
      </c>
      <c r="C31" s="8" t="s">
        <v>18</v>
      </c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3" hidden="false" customHeight="true" outlineLevel="0" collapsed="false">
      <c r="A32" s="2"/>
      <c r="B32" s="2" t="s">
        <v>32</v>
      </c>
      <c r="C32" s="8" t="n">
        <v>0</v>
      </c>
      <c r="D32" s="8" t="n">
        <v>0</v>
      </c>
      <c r="E32" s="8" t="n">
        <v>0</v>
      </c>
      <c r="F32" s="2"/>
      <c r="G32" s="2"/>
      <c r="H32" s="2"/>
      <c r="I32" s="2"/>
      <c r="J32" s="2"/>
      <c r="K32" s="2"/>
      <c r="L32" s="2"/>
    </row>
    <row r="33" customFormat="false" ht="25" hidden="false" customHeight="true" outlineLevel="0" collapsed="false">
      <c r="A33" s="2"/>
      <c r="B33" s="2" t="s">
        <v>33</v>
      </c>
      <c r="C33" s="8" t="n">
        <v>0</v>
      </c>
      <c r="D33" s="8" t="n">
        <v>1</v>
      </c>
      <c r="E33" s="8" t="n">
        <v>0</v>
      </c>
      <c r="F33" s="2"/>
      <c r="G33" s="5" t="s">
        <v>34</v>
      </c>
      <c r="H33" s="5"/>
      <c r="I33" s="5"/>
      <c r="J33" s="5"/>
      <c r="K33" s="9" t="str">
        <f aca="false">HYPERLINK("#'Detalhes'!B2","ℹ")</f>
        <v>ℹ</v>
      </c>
      <c r="L33" s="2"/>
    </row>
    <row r="34" customFormat="false" ht="34" hidden="false" customHeight="true" outlineLevel="0" collapsed="false">
      <c r="A34" s="2"/>
      <c r="B34" s="4" t="s">
        <v>35</v>
      </c>
      <c r="C34" s="4"/>
      <c r="D34" s="4"/>
      <c r="E34" s="4"/>
      <c r="F34" s="2"/>
      <c r="G34" s="10" t="str">
        <f aca="false">Matrizes!C123</f>
        <v>Parcialmente no volume</v>
      </c>
      <c r="H34" s="10"/>
      <c r="I34" s="10"/>
      <c r="J34" s="10"/>
      <c r="K34" s="10"/>
      <c r="L34" s="2"/>
    </row>
    <row r="35" customFormat="false" ht="23" hidden="false" customHeight="true" outlineLevel="0" collapsed="false">
      <c r="A35" s="2"/>
      <c r="B35" s="2"/>
      <c r="C35" s="2"/>
      <c r="D35" s="2"/>
      <c r="E35" s="2"/>
      <c r="F35" s="2"/>
      <c r="G35" s="10"/>
      <c r="H35" s="10"/>
      <c r="I35" s="10"/>
      <c r="J35" s="10"/>
      <c r="K35" s="10"/>
      <c r="L35" s="2"/>
    </row>
    <row r="36" customFormat="false" ht="25" hidden="false" customHeight="true" outlineLevel="0" collapsed="false">
      <c r="A36" s="2"/>
      <c r="B36" s="5" t="s">
        <v>36</v>
      </c>
      <c r="C36" s="5"/>
      <c r="D36" s="5"/>
      <c r="E36" s="5"/>
      <c r="F36" s="2"/>
      <c r="G36" s="2"/>
      <c r="H36" s="2"/>
      <c r="I36" s="2"/>
      <c r="J36" s="2"/>
      <c r="K36" s="2"/>
      <c r="L36" s="2"/>
    </row>
    <row r="37" customFormat="false" ht="23" hidden="false" customHeight="true" outlineLevel="0" collapsed="false">
      <c r="A37" s="2"/>
      <c r="B37" s="2" t="s">
        <v>37</v>
      </c>
      <c r="C37" s="8" t="n">
        <v>60</v>
      </c>
      <c r="D37" s="2" t="s">
        <v>38</v>
      </c>
      <c r="E37" s="8" t="s">
        <v>39</v>
      </c>
      <c r="F37" s="2"/>
      <c r="G37" s="4" t="s">
        <v>40</v>
      </c>
      <c r="H37" s="4"/>
      <c r="I37" s="4"/>
      <c r="J37" s="4"/>
      <c r="K37" s="4"/>
      <c r="L37" s="2"/>
    </row>
    <row r="38" customFormat="false" ht="23" hidden="false" customHeight="true" outlineLevel="0" collapsed="false">
      <c r="A38" s="2"/>
      <c r="B38" s="2" t="s">
        <v>41</v>
      </c>
      <c r="C38" s="8" t="n">
        <v>800</v>
      </c>
      <c r="D38" s="2" t="s">
        <v>42</v>
      </c>
      <c r="E38" s="8" t="n">
        <v>600</v>
      </c>
      <c r="F38" s="2"/>
      <c r="G38" s="4"/>
      <c r="H38" s="4"/>
      <c r="I38" s="4"/>
      <c r="J38" s="4"/>
      <c r="K38" s="4"/>
      <c r="L38" s="2"/>
    </row>
    <row r="39" customFormat="false" ht="23" hidden="false" customHeight="true" outlineLevel="0" collapsed="false">
      <c r="A39" s="2"/>
      <c r="B39" s="2" t="s">
        <v>43</v>
      </c>
      <c r="C39" s="8" t="n">
        <v>1</v>
      </c>
      <c r="D39" s="2" t="s">
        <v>44</v>
      </c>
      <c r="E39" s="8" t="n">
        <v>25</v>
      </c>
      <c r="F39" s="2"/>
      <c r="G39" s="4"/>
      <c r="H39" s="4"/>
      <c r="I39" s="4"/>
      <c r="J39" s="4"/>
      <c r="K39" s="4"/>
      <c r="L39" s="2"/>
    </row>
    <row r="40" customFormat="false" ht="24" hidden="false" customHeight="true" outlineLevel="0" collapsed="false">
      <c r="A40" s="2"/>
      <c r="B40" s="4" t="s">
        <v>45</v>
      </c>
      <c r="C40" s="4"/>
      <c r="D40" s="4"/>
      <c r="E40" s="4"/>
      <c r="F40" s="2"/>
      <c r="G40" s="2"/>
      <c r="H40" s="2"/>
      <c r="I40" s="2"/>
      <c r="J40" s="2"/>
      <c r="K40" s="2"/>
      <c r="L40" s="2"/>
    </row>
    <row r="41" customFormat="false" ht="24" hidden="false" customHeight="true" outlineLevel="0" collapsed="false">
      <c r="A41" s="2"/>
      <c r="B41" s="4"/>
      <c r="C41" s="4"/>
      <c r="D41" s="4"/>
      <c r="E41" s="4"/>
      <c r="F41" s="2"/>
      <c r="G41" s="4" t="s">
        <v>46</v>
      </c>
      <c r="H41" s="4"/>
      <c r="I41" s="4"/>
      <c r="J41" s="4"/>
      <c r="K41" s="4"/>
      <c r="L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4"/>
      <c r="H42" s="4"/>
      <c r="I42" s="4"/>
      <c r="J42" s="4"/>
      <c r="K42" s="4"/>
      <c r="L42" s="2"/>
    </row>
    <row r="43" customFormat="false" ht="24" hidden="false" customHeight="true" outlineLevel="0" collapsed="false">
      <c r="A43" s="2"/>
      <c r="B43" s="4" t="s">
        <v>47</v>
      </c>
      <c r="C43" s="4"/>
      <c r="D43" s="4"/>
      <c r="E43" s="4"/>
      <c r="F43" s="2"/>
      <c r="G43" s="4"/>
      <c r="H43" s="4"/>
      <c r="I43" s="4"/>
      <c r="J43" s="4"/>
      <c r="K43" s="4"/>
      <c r="L43" s="2"/>
    </row>
    <row r="44" customFormat="false" ht="24" hidden="false" customHeight="true" outlineLevel="0" collapsed="false">
      <c r="A44" s="2"/>
      <c r="B44" s="4"/>
      <c r="C44" s="4"/>
      <c r="D44" s="4"/>
      <c r="E44" s="4"/>
      <c r="F44" s="2"/>
      <c r="G44" s="4"/>
      <c r="H44" s="4"/>
      <c r="I44" s="4"/>
      <c r="J44" s="4"/>
      <c r="K44" s="4"/>
      <c r="L44" s="2"/>
    </row>
    <row r="45" customFormat="false" ht="23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3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</sheetData>
  <mergeCells count="11">
    <mergeCell ref="B4:E4"/>
    <mergeCell ref="G4:K4"/>
    <mergeCell ref="B16:E16"/>
    <mergeCell ref="B21:E21"/>
    <mergeCell ref="B26:E26"/>
    <mergeCell ref="B34:E34"/>
    <mergeCell ref="G34:K35"/>
    <mergeCell ref="G37:K39"/>
    <mergeCell ref="B40:E41"/>
    <mergeCell ref="G41:K44"/>
    <mergeCell ref="B43:E44"/>
  </mergeCells>
  <conditionalFormatting sqref="C14:C15">
    <cfRule type="expression" priority="2" aboveAverage="0" equalAverage="0" bottom="0" percent="0" rank="0" text="" dxfId="0">
      <formula>$C$13="Nenhuma"</formula>
    </cfRule>
  </conditionalFormatting>
  <conditionalFormatting sqref="C32:E32">
    <cfRule type="expression" priority="3" aboveAverage="0" equalAverage="0" bottom="0" percent="0" rank="0" text="" dxfId="1">
      <formula>$C$31&lt;&gt;"Manual"</formula>
    </cfRule>
  </conditionalFormatting>
  <conditionalFormatting sqref="C20">
    <cfRule type="expression" priority="4" aboveAverage="0" equalAverage="0" bottom="0" percent="0" rank="0" text="" dxfId="2">
      <formula>$C$19=1</formula>
    </cfRule>
  </conditionalFormatting>
  <dataValidations count="5">
    <dataValidation allowBlank="false" errorStyle="stop" operator="equal" showDropDown="false" showErrorMessage="false" showInputMessage="false" sqref="C13" type="list">
      <formula1>"Nenhuma,X,Y,Z"</formula1>
      <formula2>0</formula2>
    </dataValidation>
    <dataValidation allowBlank="false" errorStyle="stop" operator="equal" showDropDown="false" showErrorMessage="false" showInputMessage="false" sqref="C15" type="list">
      <formula1>"Centro,Origem"</formula1>
      <formula2>0</formula2>
    </dataValidation>
    <dataValidation allowBlank="false" errorStyle="stop" operator="equal" showDropDown="false" showErrorMessage="false" showInputMessage="false" sqref="C20" type="list">
      <formula1>"Centro,Origem"</formula1>
      <formula2>0</formula2>
    </dataValidation>
    <dataValidation allowBlank="false" errorStyle="stop" operator="equal" showDropDown="false" showErrorMessage="false" showInputMessage="false" sqref="C31" type="list">
      <formula1>"Origem,Centro,Manual"</formula1>
      <formula2>0</formula2>
    </dataValidation>
    <dataValidation allowBlank="false" errorStyle="stop" operator="equal" showDropDown="false" showErrorMessage="false" showInputMessage="false" sqref="E37" type="list">
      <formula1>"Vertical,Horizontal"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95AA"/>
    <pageSetUpPr fitToPage="false"/>
  </sheetPr>
  <dimension ref="A1:O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14"/>
    <col collapsed="false" customWidth="true" hidden="false" outlineLevel="0" max="6" min="6" style="1" width="4"/>
    <col collapsed="false" customWidth="true" hidden="false" outlineLevel="0" max="10" min="7" style="1" width="14"/>
    <col collapsed="false" customWidth="true" hidden="false" outlineLevel="0" max="11" min="11" style="1" width="4"/>
    <col collapsed="false" customWidth="true" hidden="false" outlineLevel="0" max="15" min="12" style="1" width="14"/>
    <col collapsed="false" customWidth="true" hidden="false" outlineLevel="0" max="1024" min="16" style="1" width="8.68"/>
  </cols>
  <sheetData>
    <row r="1" customFormat="false" ht="23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2" hidden="false" customHeight="true" outlineLevel="0" collapsed="false">
      <c r="A2" s="2"/>
      <c r="B2" s="3" t="s">
        <v>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3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23" hidden="false" customHeight="true" outlineLevel="0" collapsed="false">
      <c r="A4" s="2"/>
      <c r="B4" s="2" t="s">
        <v>49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23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25" hidden="false" customHeight="true" outlineLevel="0" collapsed="false">
      <c r="A6" s="2"/>
      <c r="B6" s="5" t="s">
        <v>50</v>
      </c>
      <c r="C6" s="5"/>
      <c r="D6" s="5"/>
      <c r="E6" s="5"/>
      <c r="F6" s="2"/>
      <c r="G6" s="5" t="s">
        <v>51</v>
      </c>
      <c r="H6" s="5"/>
      <c r="I6" s="5"/>
      <c r="J6" s="5"/>
      <c r="K6" s="2"/>
      <c r="L6" s="2"/>
      <c r="M6" s="2"/>
      <c r="N6" s="2"/>
      <c r="O6" s="2"/>
    </row>
    <row r="7" customFormat="false" ht="23" hidden="false" customHeight="true" outlineLevel="0" collapsed="false">
      <c r="A7" s="2"/>
      <c r="B7" s="2" t="s">
        <v>9</v>
      </c>
      <c r="C7" s="2" t="s">
        <v>10</v>
      </c>
      <c r="D7" s="2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23" hidden="false" customHeight="true" outlineLevel="0" collapsed="false">
      <c r="A8" s="2"/>
      <c r="B8" s="7" t="n">
        <f aca="false">Calculadora!C8</f>
        <v>-2.5</v>
      </c>
      <c r="C8" s="7" t="n">
        <f aca="false">Calculadora!C9</f>
        <v>6</v>
      </c>
      <c r="D8" s="7" t="n">
        <f aca="false">Calculadora!C10</f>
        <v>-2.5</v>
      </c>
      <c r="E8" s="2"/>
      <c r="F8" s="2"/>
      <c r="G8" s="7" t="n">
        <f aca="false">SUM(B8:D8)/3</f>
        <v>0.333333333333333</v>
      </c>
      <c r="H8" s="2"/>
      <c r="I8" s="2"/>
      <c r="J8" s="2"/>
      <c r="K8" s="2"/>
      <c r="L8" s="2"/>
      <c r="M8" s="2"/>
      <c r="N8" s="2"/>
      <c r="O8" s="2"/>
    </row>
    <row r="9" customFormat="false" ht="23" hidden="false" customHeight="true" outlineLevel="0" collapsed="false">
      <c r="A9" s="2"/>
      <c r="B9" s="7" t="n">
        <f aca="false">Calculadora!D8</f>
        <v>-2.5</v>
      </c>
      <c r="C9" s="7" t="n">
        <f aca="false">Calculadora!D9</f>
        <v>9</v>
      </c>
      <c r="D9" s="7" t="n">
        <f aca="false">Calculadora!D10</f>
        <v>2.5</v>
      </c>
      <c r="E9" s="2"/>
      <c r="F9" s="2"/>
      <c r="G9" s="7" t="n">
        <f aca="false">SUM(B9:D9)/3</f>
        <v>3</v>
      </c>
      <c r="H9" s="2"/>
      <c r="I9" s="2"/>
      <c r="J9" s="2"/>
      <c r="K9" s="2"/>
      <c r="L9" s="2"/>
      <c r="M9" s="2"/>
      <c r="N9" s="2"/>
      <c r="O9" s="2"/>
    </row>
    <row r="10" customFormat="false" ht="23" hidden="false" customHeight="true" outlineLevel="0" collapsed="false">
      <c r="A10" s="2"/>
      <c r="B10" s="7" t="n">
        <f aca="false">Calculadora!E8</f>
        <v>2</v>
      </c>
      <c r="C10" s="7" t="n">
        <f aca="false">Calculadora!E9</f>
        <v>2</v>
      </c>
      <c r="D10" s="7" t="n">
        <f aca="false">Calculadora!E10</f>
        <v>2</v>
      </c>
      <c r="E10" s="2"/>
      <c r="F10" s="2"/>
      <c r="G10" s="7" t="n">
        <f aca="false">SUM(B10:D10)/3</f>
        <v>2</v>
      </c>
      <c r="H10" s="2"/>
      <c r="I10" s="2"/>
      <c r="J10" s="2"/>
      <c r="K10" s="2"/>
      <c r="L10" s="2"/>
      <c r="M10" s="2"/>
      <c r="N10" s="2"/>
      <c r="O10" s="2"/>
    </row>
    <row r="11" customFormat="false" ht="23" hidden="false" customHeight="true" outlineLevel="0" collapsed="false">
      <c r="A11" s="2"/>
      <c r="B11" s="7" t="n">
        <f aca="false">1</f>
        <v>1</v>
      </c>
      <c r="C11" s="7" t="n">
        <f aca="false">1</f>
        <v>1</v>
      </c>
      <c r="D11" s="7" t="n">
        <f aca="false">1</f>
        <v>1</v>
      </c>
      <c r="E11" s="2"/>
      <c r="F11" s="2"/>
      <c r="G11" s="7" t="n">
        <f aca="false">1</f>
        <v>1</v>
      </c>
      <c r="H11" s="2"/>
      <c r="I11" s="2"/>
      <c r="J11" s="2"/>
      <c r="K11" s="2"/>
      <c r="L11" s="2"/>
      <c r="M11" s="2"/>
      <c r="N11" s="2"/>
      <c r="O11" s="2"/>
    </row>
    <row r="12" customFormat="false" ht="23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23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25" hidden="false" customHeight="true" outlineLevel="0" collapsed="false">
      <c r="A14" s="2"/>
      <c r="B14" s="5" t="s">
        <v>52</v>
      </c>
      <c r="C14" s="5"/>
      <c r="D14" s="5"/>
      <c r="E14" s="5"/>
      <c r="F14" s="2"/>
      <c r="G14" s="5" t="s">
        <v>53</v>
      </c>
      <c r="H14" s="5"/>
      <c r="I14" s="5"/>
      <c r="J14" s="5"/>
      <c r="K14" s="2"/>
      <c r="L14" s="2"/>
      <c r="M14" s="2"/>
      <c r="N14" s="2"/>
      <c r="O14" s="2"/>
    </row>
    <row r="15" customFormat="false" ht="23" hidden="false" customHeight="true" outlineLevel="0" collapsed="false">
      <c r="A15" s="2"/>
      <c r="B15" s="7" t="n">
        <f aca="false">IF(Calculadora!$C$13="Nenhuma",1,IF(Calculadora!$C$13="X",1,IF(Calculadora!$C$13="Y",COS(Calculadora!$C$14*PI()/180),COS(Calculadora!$C$14*PI()/180))))</f>
        <v>0.5</v>
      </c>
      <c r="C15" s="7" t="n">
        <f aca="false">IF(Calculadora!$C$13="Nenhuma",0,IF(Calculadora!$C$13="X",0,IF(Calculadora!$C$13="Y",0,-SIN(Calculadora!$C$14*PI()/180))))</f>
        <v>-0.866025403784439</v>
      </c>
      <c r="D15" s="7" t="n">
        <f aca="false">IF(Calculadora!$C$13="Nenhuma",0,IF(Calculadora!$C$13="X",0,IF(Calculadora!$C$13="Y",SIN(Calculadora!$C$14*PI()/180),0)))</f>
        <v>0</v>
      </c>
      <c r="E15" s="7" t="n">
        <f aca="false">0</f>
        <v>0</v>
      </c>
      <c r="F15" s="2"/>
      <c r="G15" s="7" t="n">
        <f aca="false">IF(Calculadora!C15="Centro",G8,0)</f>
        <v>0.333333333333333</v>
      </c>
      <c r="H15" s="2"/>
      <c r="I15" s="2"/>
      <c r="J15" s="2"/>
      <c r="K15" s="2"/>
      <c r="L15" s="2"/>
      <c r="M15" s="2"/>
      <c r="N15" s="2"/>
      <c r="O15" s="2"/>
    </row>
    <row r="16" customFormat="false" ht="23" hidden="false" customHeight="true" outlineLevel="0" collapsed="false">
      <c r="A16" s="2"/>
      <c r="B16" s="7" t="n">
        <f aca="false">IF(Calculadora!$C$13="Nenhuma",0,IF(Calculadora!$C$13="X",0,IF(Calculadora!$C$13="Y",0,SIN(Calculadora!$C$14*PI()/180))))</f>
        <v>0.866025403784439</v>
      </c>
      <c r="C16" s="7" t="n">
        <f aca="false">IF(Calculadora!$C$13="Nenhuma",1,IF(Calculadora!$C$13="X",COS(Calculadora!$C$14*PI()/180),IF(Calculadora!$C$13="Y",1,COS(Calculadora!$C$14*PI()/180))))</f>
        <v>0.5</v>
      </c>
      <c r="D16" s="7" t="n">
        <f aca="false">IF(Calculadora!$C$13="Nenhuma",0,IF(Calculadora!$C$13="X",-SIN(Calculadora!$C$14*PI()/180),IF(Calculadora!$C$13="Y",0,0)))</f>
        <v>0</v>
      </c>
      <c r="E16" s="7" t="n">
        <f aca="false">0</f>
        <v>0</v>
      </c>
      <c r="F16" s="2"/>
      <c r="G16" s="7" t="n">
        <f aca="false">IF(Calculadora!C15="Centro",G9,0)</f>
        <v>3</v>
      </c>
      <c r="H16" s="2"/>
      <c r="I16" s="2"/>
      <c r="J16" s="2"/>
      <c r="K16" s="2"/>
      <c r="L16" s="2"/>
      <c r="M16" s="2"/>
      <c r="N16" s="2"/>
      <c r="O16" s="2"/>
    </row>
    <row r="17" customFormat="false" ht="23" hidden="false" customHeight="true" outlineLevel="0" collapsed="false">
      <c r="A17" s="2"/>
      <c r="B17" s="7" t="n">
        <f aca="false">IF(Calculadora!$C$13="Nenhuma",0,IF(Calculadora!$C$13="X",0,IF(Calculadora!$C$13="Y",-SIN(Calculadora!$C$14*PI()/180),0)))</f>
        <v>0</v>
      </c>
      <c r="C17" s="7" t="n">
        <f aca="false">IF(Calculadora!$C$13="Nenhuma",0,IF(Calculadora!$C$13="X",SIN(Calculadora!$C$14*PI()/180),IF(Calculadora!$C$13="Y",0,0)))</f>
        <v>0</v>
      </c>
      <c r="D17" s="7" t="n">
        <f aca="false">IF(Calculadora!$C$13="Nenhuma",1,IF(Calculadora!$C$13="X",COS(Calculadora!$C$14*PI()/180),IF(Calculadora!$C$13="Y",COS(Calculadora!$C$14*PI()/180),1)))</f>
        <v>1</v>
      </c>
      <c r="E17" s="7" t="n">
        <f aca="false">0</f>
        <v>0</v>
      </c>
      <c r="F17" s="2"/>
      <c r="G17" s="7" t="n">
        <f aca="false">IF(Calculadora!C15="Centro",G10,0)</f>
        <v>2</v>
      </c>
      <c r="H17" s="2"/>
      <c r="I17" s="2"/>
      <c r="J17" s="2"/>
      <c r="K17" s="2"/>
      <c r="L17" s="2"/>
      <c r="M17" s="2"/>
      <c r="N17" s="2"/>
      <c r="O17" s="2"/>
    </row>
    <row r="18" customFormat="false" ht="23" hidden="false" customHeight="true" outlineLevel="0" collapsed="false">
      <c r="A18" s="2"/>
      <c r="B18" s="7" t="n">
        <f aca="false">0</f>
        <v>0</v>
      </c>
      <c r="C18" s="7" t="n">
        <f aca="false">0</f>
        <v>0</v>
      </c>
      <c r="D18" s="7" t="n">
        <f aca="false">0</f>
        <v>0</v>
      </c>
      <c r="E18" s="7" t="n">
        <f aca="false">1</f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23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23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25" hidden="false" customHeight="true" outlineLevel="0" collapsed="false">
      <c r="A21" s="2"/>
      <c r="B21" s="5" t="s">
        <v>54</v>
      </c>
      <c r="C21" s="5"/>
      <c r="D21" s="5"/>
      <c r="E21" s="5"/>
      <c r="F21" s="2"/>
      <c r="G21" s="5" t="s">
        <v>55</v>
      </c>
      <c r="H21" s="5"/>
      <c r="I21" s="5"/>
      <c r="J21" s="5"/>
      <c r="K21" s="2"/>
      <c r="L21" s="2"/>
      <c r="M21" s="2"/>
      <c r="N21" s="2"/>
      <c r="O21" s="2"/>
    </row>
    <row r="22" customFormat="false" ht="23" hidden="false" customHeight="true" outlineLevel="0" collapsed="false">
      <c r="A22" s="2"/>
      <c r="B22" s="7" t="n">
        <f aca="false">1</f>
        <v>1</v>
      </c>
      <c r="C22" s="7" t="n">
        <f aca="false">0</f>
        <v>0</v>
      </c>
      <c r="D22" s="7" t="n">
        <f aca="false">0</f>
        <v>0</v>
      </c>
      <c r="E22" s="7" t="n">
        <f aca="false">-1*G15</f>
        <v>-0.333333333333333</v>
      </c>
      <c r="F22" s="2"/>
      <c r="G22" s="7" t="n">
        <f aca="false">1</f>
        <v>1</v>
      </c>
      <c r="H22" s="7" t="n">
        <f aca="false">0</f>
        <v>0</v>
      </c>
      <c r="I22" s="7" t="n">
        <f aca="false">0</f>
        <v>0</v>
      </c>
      <c r="J22" s="7" t="n">
        <f aca="false">1*G15</f>
        <v>0.333333333333333</v>
      </c>
      <c r="K22" s="2"/>
      <c r="L22" s="2"/>
      <c r="M22" s="2"/>
      <c r="N22" s="2"/>
      <c r="O22" s="2"/>
    </row>
    <row r="23" customFormat="false" ht="23" hidden="false" customHeight="true" outlineLevel="0" collapsed="false">
      <c r="A23" s="2"/>
      <c r="B23" s="7" t="n">
        <f aca="false">0</f>
        <v>0</v>
      </c>
      <c r="C23" s="7" t="n">
        <f aca="false">1</f>
        <v>1</v>
      </c>
      <c r="D23" s="7" t="n">
        <f aca="false">0</f>
        <v>0</v>
      </c>
      <c r="E23" s="7" t="n">
        <f aca="false">-1*G16</f>
        <v>-3</v>
      </c>
      <c r="F23" s="2"/>
      <c r="G23" s="7" t="n">
        <f aca="false">0</f>
        <v>0</v>
      </c>
      <c r="H23" s="7" t="n">
        <f aca="false">1</f>
        <v>1</v>
      </c>
      <c r="I23" s="7" t="n">
        <f aca="false">0</f>
        <v>0</v>
      </c>
      <c r="J23" s="7" t="n">
        <f aca="false">1*G16</f>
        <v>3</v>
      </c>
      <c r="K23" s="2"/>
      <c r="L23" s="2"/>
      <c r="M23" s="2"/>
      <c r="N23" s="2"/>
      <c r="O23" s="2"/>
    </row>
    <row r="24" customFormat="false" ht="23" hidden="false" customHeight="true" outlineLevel="0" collapsed="false">
      <c r="A24" s="2"/>
      <c r="B24" s="7" t="n">
        <f aca="false">0</f>
        <v>0</v>
      </c>
      <c r="C24" s="7" t="n">
        <f aca="false">0</f>
        <v>0</v>
      </c>
      <c r="D24" s="7" t="n">
        <f aca="false">1</f>
        <v>1</v>
      </c>
      <c r="E24" s="7" t="n">
        <f aca="false">-1*G17</f>
        <v>-2</v>
      </c>
      <c r="F24" s="2"/>
      <c r="G24" s="7" t="n">
        <f aca="false">0</f>
        <v>0</v>
      </c>
      <c r="H24" s="7" t="n">
        <f aca="false">0</f>
        <v>0</v>
      </c>
      <c r="I24" s="7" t="n">
        <f aca="false">1</f>
        <v>1</v>
      </c>
      <c r="J24" s="7" t="n">
        <f aca="false">1*G17</f>
        <v>2</v>
      </c>
      <c r="K24" s="2"/>
      <c r="L24" s="2"/>
      <c r="M24" s="2"/>
      <c r="N24" s="2"/>
      <c r="O24" s="2"/>
    </row>
    <row r="25" customFormat="false" ht="23" hidden="false" customHeight="true" outlineLevel="0" collapsed="false">
      <c r="A25" s="2"/>
      <c r="B25" s="7" t="n">
        <f aca="false">0</f>
        <v>0</v>
      </c>
      <c r="C25" s="7" t="n">
        <f aca="false">0</f>
        <v>0</v>
      </c>
      <c r="D25" s="7" t="n">
        <f aca="false">0</f>
        <v>0</v>
      </c>
      <c r="E25" s="7" t="n">
        <f aca="false">1</f>
        <v>1</v>
      </c>
      <c r="F25" s="2"/>
      <c r="G25" s="7" t="n">
        <f aca="false">0</f>
        <v>0</v>
      </c>
      <c r="H25" s="7" t="n">
        <f aca="false">0</f>
        <v>0</v>
      </c>
      <c r="I25" s="7" t="n">
        <f aca="false">0</f>
        <v>0</v>
      </c>
      <c r="J25" s="7" t="n">
        <f aca="false">1</f>
        <v>1</v>
      </c>
      <c r="K25" s="2"/>
      <c r="L25" s="2"/>
      <c r="M25" s="2"/>
      <c r="N25" s="2"/>
      <c r="O25" s="2"/>
    </row>
    <row r="26" customFormat="false" ht="23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23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25" hidden="false" customHeight="true" outlineLevel="0" collapsed="false">
      <c r="A28" s="2"/>
      <c r="B28" s="5" t="s">
        <v>56</v>
      </c>
      <c r="C28" s="5"/>
      <c r="D28" s="5"/>
      <c r="E28" s="5"/>
      <c r="F28" s="2"/>
      <c r="G28" s="5" t="s">
        <v>57</v>
      </c>
      <c r="H28" s="5"/>
      <c r="I28" s="5"/>
      <c r="J28" s="5"/>
      <c r="K28" s="2"/>
      <c r="L28" s="2"/>
      <c r="M28" s="2"/>
      <c r="N28" s="2"/>
      <c r="O28" s="2"/>
    </row>
    <row r="29" customFormat="false" ht="23" hidden="false" customHeight="true" outlineLevel="0" collapsed="false">
      <c r="A29" s="2"/>
      <c r="B29" s="7" t="n">
        <f aca="false">B15</f>
        <v>0.5</v>
      </c>
      <c r="C29" s="7" t="n">
        <f aca="false">C15</f>
        <v>-0.866025403784439</v>
      </c>
      <c r="D29" s="7" t="n">
        <f aca="false">D15</f>
        <v>0</v>
      </c>
      <c r="E29" s="7" t="n">
        <f aca="false">G15-B15*G15-C15*G16-D15*G17</f>
        <v>2.76474287801998</v>
      </c>
      <c r="F29" s="2"/>
      <c r="G29" s="7" t="n">
        <f aca="false">B29*B8+C29*B9+D29*B10+E29*B11</f>
        <v>3.67980638748108</v>
      </c>
      <c r="H29" s="7" t="n">
        <f aca="false">B29*C8+C29*C9+D29*C10+E29*C11</f>
        <v>-2.02948575603996</v>
      </c>
      <c r="I29" s="7" t="n">
        <f aca="false">B29*D8+C29*D9+D29*D10+E29*D11</f>
        <v>-0.650320631441114</v>
      </c>
      <c r="J29" s="2"/>
      <c r="K29" s="2"/>
      <c r="L29" s="2"/>
      <c r="M29" s="2"/>
      <c r="N29" s="2"/>
      <c r="O29" s="2"/>
    </row>
    <row r="30" customFormat="false" ht="23" hidden="false" customHeight="true" outlineLevel="0" collapsed="false">
      <c r="A30" s="2"/>
      <c r="B30" s="7" t="n">
        <f aca="false">B16</f>
        <v>0.866025403784439</v>
      </c>
      <c r="C30" s="7" t="n">
        <f aca="false">C16</f>
        <v>0.5</v>
      </c>
      <c r="D30" s="7" t="n">
        <f aca="false">D16</f>
        <v>0</v>
      </c>
      <c r="E30" s="7" t="n">
        <f aca="false">G16-B16*G15-C16*G16-D16*G17</f>
        <v>1.21132486540519</v>
      </c>
      <c r="F30" s="2"/>
      <c r="G30" s="7" t="n">
        <f aca="false">B30*B8+C30*B9+D30*B10+E30*B11</f>
        <v>-2.20373864405591</v>
      </c>
      <c r="H30" s="7" t="n">
        <f aca="false">B30*C8+C30*C9+D30*C10+E30*C11</f>
        <v>10.9074772881118</v>
      </c>
      <c r="I30" s="7" t="n">
        <f aca="false">B30*D8+C30*D9+D30*D10+E30*D11</f>
        <v>0.29626135594409</v>
      </c>
      <c r="J30" s="2"/>
      <c r="K30" s="2"/>
      <c r="L30" s="2"/>
      <c r="M30" s="2"/>
      <c r="N30" s="2"/>
      <c r="O30" s="2"/>
    </row>
    <row r="31" customFormat="false" ht="23" hidden="false" customHeight="true" outlineLevel="0" collapsed="false">
      <c r="A31" s="2"/>
      <c r="B31" s="7" t="n">
        <f aca="false">B17</f>
        <v>0</v>
      </c>
      <c r="C31" s="7" t="n">
        <f aca="false">C17</f>
        <v>0</v>
      </c>
      <c r="D31" s="7" t="n">
        <f aca="false">D17</f>
        <v>1</v>
      </c>
      <c r="E31" s="7" t="n">
        <f aca="false">G17-B17*G15-C17*G16-D17*G17</f>
        <v>0</v>
      </c>
      <c r="F31" s="2"/>
      <c r="G31" s="7" t="n">
        <f aca="false">B31*B8+C31*B9+D31*B10+E31*B11</f>
        <v>2</v>
      </c>
      <c r="H31" s="7" t="n">
        <f aca="false">B31*C8+C31*C9+D31*C10+E31*C11</f>
        <v>2</v>
      </c>
      <c r="I31" s="7" t="n">
        <f aca="false">B31*D8+C31*D9+D31*D10+E31*D11</f>
        <v>2</v>
      </c>
      <c r="J31" s="2"/>
      <c r="K31" s="2"/>
      <c r="L31" s="2"/>
      <c r="M31" s="2"/>
      <c r="N31" s="2"/>
      <c r="O31" s="2"/>
    </row>
    <row r="32" customFormat="false" ht="23" hidden="false" customHeight="true" outlineLevel="0" collapsed="false">
      <c r="A32" s="2"/>
      <c r="B32" s="7" t="n">
        <f aca="false">0</f>
        <v>0</v>
      </c>
      <c r="C32" s="7" t="n">
        <f aca="false">0</f>
        <v>0</v>
      </c>
      <c r="D32" s="7" t="n">
        <f aca="false">0</f>
        <v>0</v>
      </c>
      <c r="E32" s="7" t="n">
        <f aca="false">1</f>
        <v>1</v>
      </c>
      <c r="F32" s="2"/>
      <c r="G32" s="7" t="n">
        <f aca="false">B32*B8+C32*B9+D32*B10+E32*B11</f>
        <v>1</v>
      </c>
      <c r="H32" s="7" t="n">
        <f aca="false">B32*C8+C32*C9+D32*C10+E32*C11</f>
        <v>1</v>
      </c>
      <c r="I32" s="7" t="n">
        <f aca="false">B32*D8+C32*D9+D32*D10+E32*D11</f>
        <v>1</v>
      </c>
      <c r="J32" s="2"/>
      <c r="K32" s="2"/>
      <c r="L32" s="2"/>
      <c r="M32" s="2"/>
      <c r="N32" s="2"/>
      <c r="O32" s="2"/>
    </row>
    <row r="33" customFormat="false" ht="23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23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23" hidden="false" customHeight="true" outlineLevel="0" collapsed="false">
      <c r="A35" s="2"/>
      <c r="B35" s="2"/>
      <c r="C35" s="2"/>
      <c r="D35" s="2"/>
      <c r="E35" s="2"/>
      <c r="F35" s="2"/>
      <c r="G35" s="2" t="s">
        <v>58</v>
      </c>
      <c r="H35" s="2"/>
      <c r="I35" s="2"/>
      <c r="J35" s="2"/>
      <c r="K35" s="2"/>
      <c r="L35" s="2"/>
      <c r="M35" s="2"/>
      <c r="N35" s="2"/>
      <c r="O35" s="2"/>
    </row>
    <row r="36" customFormat="false" ht="23" hidden="false" customHeight="true" outlineLevel="0" collapsed="false">
      <c r="A36" s="2"/>
      <c r="B36" s="2"/>
      <c r="C36" s="2"/>
      <c r="D36" s="2"/>
      <c r="E36" s="2"/>
      <c r="F36" s="2"/>
      <c r="G36" s="7" t="n">
        <f aca="false">SUM(G29:I29)/3</f>
        <v>0.333333333333334</v>
      </c>
      <c r="H36" s="7" t="n">
        <f aca="false">SUM(G30:I30)/3</f>
        <v>3</v>
      </c>
      <c r="I36" s="7" t="n">
        <f aca="false">SUM(G31:I31)/3</f>
        <v>2</v>
      </c>
      <c r="J36" s="2"/>
      <c r="K36" s="2"/>
      <c r="L36" s="2"/>
      <c r="M36" s="2"/>
      <c r="N36" s="2"/>
      <c r="O36" s="2"/>
    </row>
    <row r="37" customFormat="false" ht="23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25" hidden="false" customHeight="true" outlineLevel="0" collapsed="false">
      <c r="A38" s="2"/>
      <c r="B38" s="5" t="s">
        <v>59</v>
      </c>
      <c r="C38" s="5"/>
      <c r="D38" s="5"/>
      <c r="E38" s="5"/>
      <c r="F38" s="2"/>
      <c r="G38" s="5" t="s">
        <v>60</v>
      </c>
      <c r="H38" s="5"/>
      <c r="I38" s="5"/>
      <c r="J38" s="5"/>
      <c r="K38" s="2"/>
      <c r="L38" s="2"/>
      <c r="M38" s="2"/>
      <c r="N38" s="2"/>
      <c r="O38" s="2"/>
    </row>
    <row r="39" customFormat="false" ht="23" hidden="false" customHeight="true" outlineLevel="0" collapsed="false">
      <c r="A39" s="2"/>
      <c r="B39" s="7" t="n">
        <f aca="false">Calculadora!C19</f>
        <v>2</v>
      </c>
      <c r="C39" s="7" t="n">
        <f aca="false">0</f>
        <v>0</v>
      </c>
      <c r="D39" s="7" t="n">
        <f aca="false">0</f>
        <v>0</v>
      </c>
      <c r="E39" s="7" t="n">
        <f aca="false">0</f>
        <v>0</v>
      </c>
      <c r="F39" s="2"/>
      <c r="G39" s="7" t="n">
        <f aca="false">IF(Calculadora!C20="Centro",G36,0)</f>
        <v>0.333333333333334</v>
      </c>
      <c r="H39" s="2"/>
      <c r="I39" s="2"/>
      <c r="J39" s="2"/>
      <c r="K39" s="2"/>
      <c r="L39" s="2"/>
      <c r="M39" s="2"/>
      <c r="N39" s="2"/>
      <c r="O39" s="2"/>
    </row>
    <row r="40" customFormat="false" ht="23" hidden="false" customHeight="true" outlineLevel="0" collapsed="false">
      <c r="A40" s="2"/>
      <c r="B40" s="7" t="n">
        <f aca="false">0</f>
        <v>0</v>
      </c>
      <c r="C40" s="7" t="n">
        <f aca="false">Calculadora!C19</f>
        <v>2</v>
      </c>
      <c r="D40" s="7" t="n">
        <f aca="false">0</f>
        <v>0</v>
      </c>
      <c r="E40" s="7" t="n">
        <f aca="false">0</f>
        <v>0</v>
      </c>
      <c r="F40" s="2"/>
      <c r="G40" s="7" t="n">
        <f aca="false">IF(Calculadora!C20="Centro",H36,0)</f>
        <v>3</v>
      </c>
      <c r="H40" s="2"/>
      <c r="I40" s="2"/>
      <c r="J40" s="2"/>
      <c r="K40" s="2"/>
      <c r="L40" s="2"/>
      <c r="M40" s="2"/>
      <c r="N40" s="2"/>
      <c r="O40" s="2"/>
    </row>
    <row r="41" customFormat="false" ht="23" hidden="false" customHeight="true" outlineLevel="0" collapsed="false">
      <c r="A41" s="2"/>
      <c r="B41" s="7" t="n">
        <f aca="false">0</f>
        <v>0</v>
      </c>
      <c r="C41" s="7" t="n">
        <f aca="false">0</f>
        <v>0</v>
      </c>
      <c r="D41" s="7" t="n">
        <f aca="false">Calculadora!C19</f>
        <v>2</v>
      </c>
      <c r="E41" s="7" t="n">
        <f aca="false">0</f>
        <v>0</v>
      </c>
      <c r="F41" s="2"/>
      <c r="G41" s="7" t="n">
        <f aca="false">IF(Calculadora!C20="Centro",I36,0)</f>
        <v>2</v>
      </c>
      <c r="H41" s="2"/>
      <c r="I41" s="2"/>
      <c r="J41" s="2"/>
      <c r="K41" s="2"/>
      <c r="L41" s="2"/>
      <c r="M41" s="2"/>
      <c r="N41" s="2"/>
      <c r="O41" s="2"/>
    </row>
    <row r="42" customFormat="false" ht="23" hidden="false" customHeight="true" outlineLevel="0" collapsed="false">
      <c r="A42" s="2"/>
      <c r="B42" s="7" t="n">
        <f aca="false">0</f>
        <v>0</v>
      </c>
      <c r="C42" s="7" t="n">
        <f aca="false">0</f>
        <v>0</v>
      </c>
      <c r="D42" s="7" t="n">
        <f aca="false">0</f>
        <v>0</v>
      </c>
      <c r="E42" s="7" t="n">
        <f aca="false">1</f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23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23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25" hidden="false" customHeight="true" outlineLevel="0" collapsed="false">
      <c r="A45" s="2"/>
      <c r="B45" s="5" t="s">
        <v>61</v>
      </c>
      <c r="C45" s="5"/>
      <c r="D45" s="5"/>
      <c r="E45" s="5"/>
      <c r="F45" s="2"/>
      <c r="G45" s="5" t="s">
        <v>62</v>
      </c>
      <c r="H45" s="5"/>
      <c r="I45" s="5"/>
      <c r="J45" s="5"/>
      <c r="K45" s="2"/>
      <c r="L45" s="2"/>
      <c r="M45" s="2"/>
      <c r="N45" s="2"/>
      <c r="O45" s="2"/>
    </row>
    <row r="46" customFormat="false" ht="23" hidden="false" customHeight="true" outlineLevel="0" collapsed="false">
      <c r="A46" s="2"/>
      <c r="B46" s="7" t="n">
        <f aca="false">1</f>
        <v>1</v>
      </c>
      <c r="C46" s="7" t="n">
        <f aca="false">0</f>
        <v>0</v>
      </c>
      <c r="D46" s="7" t="n">
        <f aca="false">0</f>
        <v>0</v>
      </c>
      <c r="E46" s="7" t="n">
        <f aca="false">-1*G39</f>
        <v>-0.333333333333334</v>
      </c>
      <c r="F46" s="2"/>
      <c r="G46" s="7" t="n">
        <f aca="false">1</f>
        <v>1</v>
      </c>
      <c r="H46" s="7" t="n">
        <f aca="false">0</f>
        <v>0</v>
      </c>
      <c r="I46" s="7" t="n">
        <f aca="false">0</f>
        <v>0</v>
      </c>
      <c r="J46" s="7" t="n">
        <f aca="false">1*G39</f>
        <v>0.333333333333334</v>
      </c>
      <c r="K46" s="2"/>
      <c r="L46" s="2"/>
      <c r="M46" s="2"/>
      <c r="N46" s="2"/>
      <c r="O46" s="2"/>
    </row>
    <row r="47" customFormat="false" ht="23" hidden="false" customHeight="true" outlineLevel="0" collapsed="false">
      <c r="A47" s="2"/>
      <c r="B47" s="7" t="n">
        <f aca="false">0</f>
        <v>0</v>
      </c>
      <c r="C47" s="7" t="n">
        <f aca="false">1</f>
        <v>1</v>
      </c>
      <c r="D47" s="7" t="n">
        <f aca="false">0</f>
        <v>0</v>
      </c>
      <c r="E47" s="7" t="n">
        <f aca="false">-1*G40</f>
        <v>-3</v>
      </c>
      <c r="F47" s="2"/>
      <c r="G47" s="7" t="n">
        <f aca="false">0</f>
        <v>0</v>
      </c>
      <c r="H47" s="7" t="n">
        <f aca="false">1</f>
        <v>1</v>
      </c>
      <c r="I47" s="7" t="n">
        <f aca="false">0</f>
        <v>0</v>
      </c>
      <c r="J47" s="7" t="n">
        <f aca="false">1*G40</f>
        <v>3</v>
      </c>
      <c r="K47" s="2"/>
      <c r="L47" s="2"/>
      <c r="M47" s="2"/>
      <c r="N47" s="2"/>
      <c r="O47" s="2"/>
    </row>
    <row r="48" customFormat="false" ht="23" hidden="false" customHeight="true" outlineLevel="0" collapsed="false">
      <c r="A48" s="2"/>
      <c r="B48" s="7" t="n">
        <f aca="false">0</f>
        <v>0</v>
      </c>
      <c r="C48" s="7" t="n">
        <f aca="false">0</f>
        <v>0</v>
      </c>
      <c r="D48" s="7" t="n">
        <f aca="false">1</f>
        <v>1</v>
      </c>
      <c r="E48" s="7" t="n">
        <f aca="false">-1*G41</f>
        <v>-2</v>
      </c>
      <c r="F48" s="2"/>
      <c r="G48" s="7" t="n">
        <f aca="false">0</f>
        <v>0</v>
      </c>
      <c r="H48" s="7" t="n">
        <f aca="false">0</f>
        <v>0</v>
      </c>
      <c r="I48" s="7" t="n">
        <f aca="false">1</f>
        <v>1</v>
      </c>
      <c r="J48" s="7" t="n">
        <f aca="false">1*G41</f>
        <v>2</v>
      </c>
      <c r="K48" s="2"/>
      <c r="L48" s="2"/>
      <c r="M48" s="2"/>
      <c r="N48" s="2"/>
      <c r="O48" s="2"/>
    </row>
    <row r="49" customFormat="false" ht="23" hidden="false" customHeight="true" outlineLevel="0" collapsed="false">
      <c r="A49" s="2"/>
      <c r="B49" s="7" t="n">
        <f aca="false">0</f>
        <v>0</v>
      </c>
      <c r="C49" s="7" t="n">
        <f aca="false">0</f>
        <v>0</v>
      </c>
      <c r="D49" s="7" t="n">
        <f aca="false">0</f>
        <v>0</v>
      </c>
      <c r="E49" s="7" t="n">
        <f aca="false">1</f>
        <v>1</v>
      </c>
      <c r="F49" s="2"/>
      <c r="G49" s="7" t="n">
        <f aca="false">0</f>
        <v>0</v>
      </c>
      <c r="H49" s="7" t="n">
        <f aca="false">0</f>
        <v>0</v>
      </c>
      <c r="I49" s="7" t="n">
        <f aca="false">0</f>
        <v>0</v>
      </c>
      <c r="J49" s="7" t="n">
        <f aca="false">1</f>
        <v>1</v>
      </c>
      <c r="K49" s="2"/>
      <c r="L49" s="2"/>
      <c r="M49" s="2"/>
      <c r="N49" s="2"/>
      <c r="O49" s="2"/>
    </row>
    <row r="50" customFormat="false" ht="23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23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25" hidden="false" customHeight="true" outlineLevel="0" collapsed="false">
      <c r="A52" s="2"/>
      <c r="B52" s="5" t="s">
        <v>63</v>
      </c>
      <c r="C52" s="5"/>
      <c r="D52" s="5"/>
      <c r="E52" s="5"/>
      <c r="F52" s="2"/>
      <c r="G52" s="5" t="s">
        <v>64</v>
      </c>
      <c r="H52" s="5"/>
      <c r="I52" s="5"/>
      <c r="J52" s="5"/>
      <c r="K52" s="2"/>
      <c r="L52" s="2"/>
      <c r="M52" s="2"/>
      <c r="N52" s="2"/>
      <c r="O52" s="2"/>
    </row>
    <row r="53" customFormat="false" ht="23" hidden="false" customHeight="true" outlineLevel="0" collapsed="false">
      <c r="A53" s="2"/>
      <c r="B53" s="7" t="n">
        <f aca="false">B39</f>
        <v>2</v>
      </c>
      <c r="C53" s="7" t="n">
        <f aca="false">C39</f>
        <v>0</v>
      </c>
      <c r="D53" s="7" t="n">
        <f aca="false">D39</f>
        <v>0</v>
      </c>
      <c r="E53" s="7" t="n">
        <f aca="false">G39*(1-Calculadora!C19)</f>
        <v>-0.333333333333334</v>
      </c>
      <c r="F53" s="2"/>
      <c r="G53" s="7" t="n">
        <f aca="false">B53*G29+C53*G30+D53*G31+E53*G32</f>
        <v>7.02627944162882</v>
      </c>
      <c r="H53" s="7" t="n">
        <f aca="false">B53*H29+C53*H30+D53*H31+E53*H32</f>
        <v>-4.39230484541326</v>
      </c>
      <c r="I53" s="7" t="n">
        <f aca="false">B53*I29+C53*I30+D53*I31+E53*I32</f>
        <v>-1.63397459621556</v>
      </c>
      <c r="J53" s="2"/>
      <c r="K53" s="2"/>
      <c r="L53" s="2"/>
      <c r="M53" s="2"/>
      <c r="N53" s="2"/>
      <c r="O53" s="2"/>
    </row>
    <row r="54" customFormat="false" ht="23" hidden="false" customHeight="true" outlineLevel="0" collapsed="false">
      <c r="A54" s="2"/>
      <c r="B54" s="7" t="n">
        <f aca="false">B40</f>
        <v>0</v>
      </c>
      <c r="C54" s="7" t="n">
        <f aca="false">C40</f>
        <v>2</v>
      </c>
      <c r="D54" s="7" t="n">
        <f aca="false">D40</f>
        <v>0</v>
      </c>
      <c r="E54" s="7" t="n">
        <f aca="false">G40*(1-Calculadora!C19)</f>
        <v>-3</v>
      </c>
      <c r="F54" s="2"/>
      <c r="G54" s="7" t="n">
        <f aca="false">B54*G29+C54*G30+D54*G31+E54*G32</f>
        <v>-7.40747728811182</v>
      </c>
      <c r="H54" s="7" t="n">
        <f aca="false">B54*H29+C54*H30+D54*H31+E54*H32</f>
        <v>18.8149545762236</v>
      </c>
      <c r="I54" s="7" t="n">
        <f aca="false">B54*I29+C54*I30+D54*I31+E54*I32</f>
        <v>-2.40747728811182</v>
      </c>
      <c r="J54" s="2"/>
      <c r="K54" s="2"/>
      <c r="L54" s="2"/>
      <c r="M54" s="2"/>
      <c r="N54" s="2"/>
      <c r="O54" s="2"/>
    </row>
    <row r="55" customFormat="false" ht="23" hidden="false" customHeight="true" outlineLevel="0" collapsed="false">
      <c r="A55" s="2"/>
      <c r="B55" s="7" t="n">
        <f aca="false">B41</f>
        <v>0</v>
      </c>
      <c r="C55" s="7" t="n">
        <f aca="false">C41</f>
        <v>0</v>
      </c>
      <c r="D55" s="7" t="n">
        <f aca="false">D41</f>
        <v>2</v>
      </c>
      <c r="E55" s="7" t="n">
        <f aca="false">G41*(1-Calculadora!C19)</f>
        <v>-2</v>
      </c>
      <c r="F55" s="2"/>
      <c r="G55" s="7" t="n">
        <f aca="false">B55*G29+C55*G30+D55*G31+E55*G32</f>
        <v>2</v>
      </c>
      <c r="H55" s="7" t="n">
        <f aca="false">B55*H29+C55*H30+D55*H31+E55*H32</f>
        <v>2</v>
      </c>
      <c r="I55" s="7" t="n">
        <f aca="false">B55*I29+C55*I30+D55*I31+E55*I32</f>
        <v>2</v>
      </c>
      <c r="J55" s="2"/>
      <c r="K55" s="2"/>
      <c r="L55" s="2"/>
      <c r="M55" s="2"/>
      <c r="N55" s="2"/>
      <c r="O55" s="2"/>
    </row>
    <row r="56" customFormat="false" ht="23" hidden="false" customHeight="true" outlineLevel="0" collapsed="false">
      <c r="A56" s="2"/>
      <c r="B56" s="7" t="n">
        <f aca="false">0</f>
        <v>0</v>
      </c>
      <c r="C56" s="7" t="n">
        <f aca="false">0</f>
        <v>0</v>
      </c>
      <c r="D56" s="7" t="n">
        <f aca="false">0</f>
        <v>0</v>
      </c>
      <c r="E56" s="7" t="n">
        <f aca="false">1</f>
        <v>1</v>
      </c>
      <c r="F56" s="2"/>
      <c r="G56" s="7" t="n">
        <f aca="false">B56*G29+C56*G30+D56*G31+E56*G32</f>
        <v>1</v>
      </c>
      <c r="H56" s="7" t="n">
        <f aca="false">B56*H29+C56*H30+D56*H31+E56*H32</f>
        <v>1</v>
      </c>
      <c r="I56" s="7" t="n">
        <f aca="false">B56*I29+C56*I30+D56*I31+E56*I32</f>
        <v>1</v>
      </c>
      <c r="J56" s="2"/>
      <c r="K56" s="2"/>
      <c r="L56" s="2"/>
      <c r="M56" s="2"/>
      <c r="N56" s="2"/>
      <c r="O56" s="2"/>
    </row>
    <row r="57" customFormat="false" ht="23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23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25" hidden="false" customHeight="true" outlineLevel="0" collapsed="false">
      <c r="A59" s="2"/>
      <c r="B59" s="5" t="s">
        <v>65</v>
      </c>
      <c r="C59" s="5"/>
      <c r="D59" s="5"/>
      <c r="E59" s="5"/>
      <c r="F59" s="2"/>
      <c r="G59" s="5" t="s">
        <v>66</v>
      </c>
      <c r="H59" s="5"/>
      <c r="I59" s="5"/>
      <c r="J59" s="5"/>
      <c r="K59" s="2"/>
      <c r="L59" s="2"/>
      <c r="M59" s="2"/>
      <c r="N59" s="2"/>
      <c r="O59" s="2"/>
    </row>
    <row r="60" customFormat="false" ht="23" hidden="false" customHeight="true" outlineLevel="0" collapsed="false">
      <c r="A60" s="2"/>
      <c r="B60" s="7" t="n">
        <f aca="false">B53*B29+C53*B30+D53*B31+E53*B32</f>
        <v>1</v>
      </c>
      <c r="C60" s="7" t="n">
        <f aca="false">B53*C29+C53*C30+D53*C31+E53*C32</f>
        <v>-1.73205080756888</v>
      </c>
      <c r="D60" s="7" t="n">
        <f aca="false">B53*D29+C53*D30+D53*D31+E53*D32</f>
        <v>0</v>
      </c>
      <c r="E60" s="7" t="n">
        <f aca="false">B53*E29+C53*E30+D53*E31+E53*E32</f>
        <v>5.19615242270663</v>
      </c>
      <c r="F60" s="2"/>
      <c r="G60" s="7" t="n">
        <f aca="false">1</f>
        <v>1</v>
      </c>
      <c r="H60" s="7" t="n">
        <f aca="false">0</f>
        <v>0</v>
      </c>
      <c r="I60" s="7" t="n">
        <f aca="false">0</f>
        <v>0</v>
      </c>
      <c r="J60" s="7" t="n">
        <f aca="false">1*Calculadora!C25</f>
        <v>0</v>
      </c>
      <c r="K60" s="2"/>
      <c r="L60" s="2"/>
      <c r="M60" s="2"/>
      <c r="N60" s="2"/>
      <c r="O60" s="2"/>
    </row>
    <row r="61" customFormat="false" ht="23" hidden="false" customHeight="true" outlineLevel="0" collapsed="false">
      <c r="A61" s="2"/>
      <c r="B61" s="7" t="n">
        <f aca="false">B54*B29+C54*B30+D54*B31+E54*B32</f>
        <v>1.73205080756888</v>
      </c>
      <c r="C61" s="7" t="n">
        <f aca="false">B54*C29+C54*C30+D54*C31+E54*C32</f>
        <v>1</v>
      </c>
      <c r="D61" s="7" t="n">
        <f aca="false">B54*D29+C54*D30+D54*D31+E54*D32</f>
        <v>0</v>
      </c>
      <c r="E61" s="7" t="n">
        <f aca="false">B54*E29+C54*E30+D54*E31+E54*E32</f>
        <v>-0.577350269189627</v>
      </c>
      <c r="F61" s="2"/>
      <c r="G61" s="7" t="n">
        <f aca="false">0</f>
        <v>0</v>
      </c>
      <c r="H61" s="7" t="n">
        <f aca="false">1</f>
        <v>1</v>
      </c>
      <c r="I61" s="7" t="n">
        <f aca="false">0</f>
        <v>0</v>
      </c>
      <c r="J61" s="7" t="n">
        <f aca="false">1*Calculadora!D25</f>
        <v>0</v>
      </c>
      <c r="K61" s="2"/>
      <c r="L61" s="2"/>
      <c r="M61" s="2"/>
      <c r="N61" s="2"/>
      <c r="O61" s="2"/>
    </row>
    <row r="62" customFormat="false" ht="23" hidden="false" customHeight="true" outlineLevel="0" collapsed="false">
      <c r="A62" s="2"/>
      <c r="B62" s="7" t="n">
        <f aca="false">B55*B29+C55*B30+D55*B31+E55*B32</f>
        <v>0</v>
      </c>
      <c r="C62" s="7" t="n">
        <f aca="false">B55*C29+C55*C30+D55*C31+E55*C32</f>
        <v>0</v>
      </c>
      <c r="D62" s="7" t="n">
        <f aca="false">B55*D29+C55*D30+D55*D31+E55*D32</f>
        <v>2</v>
      </c>
      <c r="E62" s="7" t="n">
        <f aca="false">B55*E29+C55*E30+D55*E31+E55*E32</f>
        <v>-2</v>
      </c>
      <c r="F62" s="2"/>
      <c r="G62" s="7" t="n">
        <f aca="false">0</f>
        <v>0</v>
      </c>
      <c r="H62" s="7" t="n">
        <f aca="false">0</f>
        <v>0</v>
      </c>
      <c r="I62" s="7" t="n">
        <f aca="false">1</f>
        <v>1</v>
      </c>
      <c r="J62" s="7" t="n">
        <f aca="false">1*Calculadora!E25</f>
        <v>0</v>
      </c>
      <c r="K62" s="2"/>
      <c r="L62" s="2"/>
      <c r="M62" s="2"/>
      <c r="N62" s="2"/>
      <c r="O62" s="2"/>
    </row>
    <row r="63" customFormat="false" ht="23" hidden="false" customHeight="true" outlineLevel="0" collapsed="false">
      <c r="A63" s="2"/>
      <c r="B63" s="7" t="n">
        <f aca="false">B56*B29+C56*B30+D56*B31+E56*B32</f>
        <v>0</v>
      </c>
      <c r="C63" s="7" t="n">
        <f aca="false">B56*C29+C56*C30+D56*C31+E56*C32</f>
        <v>0</v>
      </c>
      <c r="D63" s="7" t="n">
        <f aca="false">B56*D29+C56*D30+D56*D31+E56*D32</f>
        <v>0</v>
      </c>
      <c r="E63" s="7" t="n">
        <f aca="false">B56*E29+C56*E30+D56*E31+E56*E32</f>
        <v>1</v>
      </c>
      <c r="F63" s="2"/>
      <c r="G63" s="7" t="n">
        <f aca="false">0</f>
        <v>0</v>
      </c>
      <c r="H63" s="7" t="n">
        <f aca="false">0</f>
        <v>0</v>
      </c>
      <c r="I63" s="7" t="n">
        <f aca="false">0</f>
        <v>0</v>
      </c>
      <c r="J63" s="7" t="n">
        <f aca="false">1</f>
        <v>1</v>
      </c>
      <c r="K63" s="2"/>
      <c r="L63" s="2"/>
      <c r="M63" s="2"/>
      <c r="N63" s="2"/>
      <c r="O63" s="2"/>
    </row>
    <row r="64" customFormat="false" ht="23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23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25" hidden="false" customHeight="true" outlineLevel="0" collapsed="false">
      <c r="A66" s="2"/>
      <c r="B66" s="5" t="s">
        <v>67</v>
      </c>
      <c r="C66" s="5"/>
      <c r="D66" s="5"/>
      <c r="E66" s="5"/>
      <c r="F66" s="2"/>
      <c r="G66" s="5" t="s">
        <v>21</v>
      </c>
      <c r="H66" s="5"/>
      <c r="I66" s="5"/>
      <c r="J66" s="5"/>
      <c r="K66" s="2"/>
      <c r="L66" s="2"/>
      <c r="M66" s="2"/>
      <c r="N66" s="2"/>
      <c r="O66" s="2"/>
    </row>
    <row r="67" customFormat="false" ht="23" hidden="false" customHeight="true" outlineLevel="0" collapsed="false">
      <c r="A67" s="2"/>
      <c r="B67" s="7" t="n">
        <f aca="false">G60*B60+H60*B61+I60*B62+J60*B63</f>
        <v>1</v>
      </c>
      <c r="C67" s="7" t="n">
        <f aca="false">G60*C60+H60*C61+I60*C62+J60*C63</f>
        <v>-1.73205080756888</v>
      </c>
      <c r="D67" s="7" t="n">
        <f aca="false">G60*D60+H60*D61+I60*D62+J60*D63</f>
        <v>0</v>
      </c>
      <c r="E67" s="7" t="n">
        <f aca="false">G60*E60+H60*E61+I60*E62+J60*E63</f>
        <v>5.19615242270663</v>
      </c>
      <c r="F67" s="2"/>
      <c r="G67" s="7" t="n">
        <f aca="false">B67*B8+C67*B9+D67*B10+E67*B11</f>
        <v>7.02627944162882</v>
      </c>
      <c r="H67" s="7" t="n">
        <f aca="false">B67*C8+C67*C9+D67*C10+E67*C11</f>
        <v>-4.39230484541326</v>
      </c>
      <c r="I67" s="7" t="n">
        <f aca="false">B67*D8+C67*D9+D67*D10+E67*D11</f>
        <v>-1.63397459621556</v>
      </c>
      <c r="J67" s="2"/>
      <c r="K67" s="2"/>
      <c r="L67" s="2"/>
      <c r="M67" s="2"/>
      <c r="N67" s="2"/>
      <c r="O67" s="2"/>
    </row>
    <row r="68" customFormat="false" ht="23" hidden="false" customHeight="true" outlineLevel="0" collapsed="false">
      <c r="A68" s="2"/>
      <c r="B68" s="7" t="n">
        <f aca="false">G61*B60+H61*B61+I61*B62+J61*B63</f>
        <v>1.73205080756888</v>
      </c>
      <c r="C68" s="7" t="n">
        <f aca="false">G61*C60+H61*C61+I61*C62+J61*C63</f>
        <v>1</v>
      </c>
      <c r="D68" s="7" t="n">
        <f aca="false">G61*D60+H61*D61+I61*D62+J61*D63</f>
        <v>0</v>
      </c>
      <c r="E68" s="7" t="n">
        <f aca="false">G61*E60+H61*E61+I61*E62+J61*E63</f>
        <v>-0.577350269189627</v>
      </c>
      <c r="F68" s="2"/>
      <c r="G68" s="7" t="n">
        <f aca="false">B68*B8+C68*B9+D68*B10+E68*B11</f>
        <v>-7.40747728811182</v>
      </c>
      <c r="H68" s="7" t="n">
        <f aca="false">B68*C8+C68*C9+D68*C10+E68*C11</f>
        <v>18.8149545762236</v>
      </c>
      <c r="I68" s="7" t="n">
        <f aca="false">B68*D8+C68*D9+D68*D10+E68*D11</f>
        <v>-2.40747728811182</v>
      </c>
      <c r="J68" s="2"/>
      <c r="K68" s="2"/>
      <c r="L68" s="2"/>
      <c r="M68" s="2"/>
      <c r="N68" s="2"/>
      <c r="O68" s="2"/>
    </row>
    <row r="69" customFormat="false" ht="23" hidden="false" customHeight="true" outlineLevel="0" collapsed="false">
      <c r="A69" s="2"/>
      <c r="B69" s="7" t="n">
        <f aca="false">G62*B60+H62*B61+I62*B62+J62*B63</f>
        <v>0</v>
      </c>
      <c r="C69" s="7" t="n">
        <f aca="false">G62*C60+H62*C61+I62*C62+J62*C63</f>
        <v>0</v>
      </c>
      <c r="D69" s="7" t="n">
        <f aca="false">G62*D60+H62*D61+I62*D62+J62*D63</f>
        <v>2</v>
      </c>
      <c r="E69" s="7" t="n">
        <f aca="false">G62*E60+H62*E61+I62*E62+J62*E63</f>
        <v>-2</v>
      </c>
      <c r="F69" s="2"/>
      <c r="G69" s="7" t="n">
        <f aca="false">B69*B8+C69*B9+D69*B10+E69*B11</f>
        <v>2</v>
      </c>
      <c r="H69" s="7" t="n">
        <f aca="false">B69*C8+C69*C9+D69*C10+E69*C11</f>
        <v>2</v>
      </c>
      <c r="I69" s="7" t="n">
        <f aca="false">B69*D8+C69*D9+D69*D10+E69*D11</f>
        <v>2</v>
      </c>
      <c r="J69" s="2"/>
      <c r="K69" s="2"/>
      <c r="L69" s="2"/>
      <c r="M69" s="2"/>
      <c r="N69" s="2"/>
      <c r="O69" s="2"/>
    </row>
    <row r="70" customFormat="false" ht="23" hidden="false" customHeight="true" outlineLevel="0" collapsed="false">
      <c r="A70" s="2"/>
      <c r="B70" s="7" t="n">
        <f aca="false">G63*B60+H63*B61+I63*B62+J63*B63</f>
        <v>0</v>
      </c>
      <c r="C70" s="7" t="n">
        <f aca="false">G63*C60+H63*C61+I63*C62+J63*C63</f>
        <v>0</v>
      </c>
      <c r="D70" s="7" t="n">
        <f aca="false">G63*D60+H63*D61+I63*D62+J63*D63</f>
        <v>0</v>
      </c>
      <c r="E70" s="7" t="n">
        <f aca="false">G63*E60+H63*E61+I63*E62+J63*E63</f>
        <v>1</v>
      </c>
      <c r="F70" s="2"/>
      <c r="G70" s="7" t="n">
        <f aca="false">B70*B8+C70*B9+D70*B10+E70*B11</f>
        <v>1</v>
      </c>
      <c r="H70" s="7" t="n">
        <f aca="false">B70*C8+C70*C9+D70*C10+E70*C11</f>
        <v>1</v>
      </c>
      <c r="I70" s="7" t="n">
        <f aca="false">B70*D8+C70*D9+D70*D10+E70*D11</f>
        <v>1</v>
      </c>
      <c r="J70" s="2"/>
      <c r="K70" s="2"/>
      <c r="L70" s="2"/>
      <c r="M70" s="2"/>
      <c r="N70" s="2"/>
      <c r="O70" s="2"/>
    </row>
    <row r="71" customFormat="false" ht="23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customFormat="false" ht="23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customFormat="false" ht="25" hidden="false" customHeight="true" outlineLevel="0" collapsed="false">
      <c r="A73" s="2"/>
      <c r="B73" s="5" t="s">
        <v>68</v>
      </c>
      <c r="C73" s="5"/>
      <c r="D73" s="5"/>
      <c r="E73" s="5"/>
      <c r="F73" s="2"/>
      <c r="G73" s="5" t="s">
        <v>69</v>
      </c>
      <c r="H73" s="5"/>
      <c r="I73" s="5"/>
      <c r="J73" s="5"/>
      <c r="K73" s="2"/>
      <c r="L73" s="2"/>
      <c r="M73" s="2"/>
      <c r="N73" s="2"/>
      <c r="O73" s="2"/>
    </row>
    <row r="74" customFormat="false" ht="23" hidden="false" customHeight="true" outlineLevel="0" collapsed="false">
      <c r="A74" s="2"/>
      <c r="B74" s="11" t="n">
        <f aca="false">Calculadora!C30</f>
        <v>3</v>
      </c>
      <c r="C74" s="2"/>
      <c r="D74" s="2"/>
      <c r="E74" s="2"/>
      <c r="F74" s="2"/>
      <c r="G74" s="11" t="n">
        <f aca="false">IF(Calculadora!C31="Origem",0,IF(Calculadora!C31="Centro",SUM(G67:I67)/3,Calculadora!C32))</f>
        <v>0.333333333333333</v>
      </c>
      <c r="H74" s="2"/>
      <c r="I74" s="2"/>
      <c r="J74" s="2"/>
      <c r="K74" s="2"/>
      <c r="L74" s="2"/>
      <c r="M74" s="2"/>
      <c r="N74" s="2"/>
      <c r="O74" s="2"/>
    </row>
    <row r="75" customFormat="false" ht="23" hidden="false" customHeight="true" outlineLevel="0" collapsed="false">
      <c r="A75" s="2"/>
      <c r="B75" s="11" t="n">
        <f aca="false">Calculadora!D30</f>
        <v>32</v>
      </c>
      <c r="C75" s="2"/>
      <c r="D75" s="2"/>
      <c r="E75" s="2"/>
      <c r="F75" s="2"/>
      <c r="G75" s="11" t="n">
        <f aca="false">IF(Calculadora!C31="Origem",0,IF(Calculadora!C31="Centro",SUM(G68:I68)/3,Calculadora!D32))</f>
        <v>3</v>
      </c>
      <c r="H75" s="2"/>
      <c r="I75" s="2"/>
      <c r="J75" s="2"/>
      <c r="K75" s="2"/>
      <c r="L75" s="2"/>
      <c r="M75" s="2"/>
      <c r="N75" s="2"/>
      <c r="O75" s="2"/>
    </row>
    <row r="76" customFormat="false" ht="23" hidden="false" customHeight="true" outlineLevel="0" collapsed="false">
      <c r="A76" s="2"/>
      <c r="B76" s="11" t="n">
        <f aca="false">Calculadora!E30</f>
        <v>1</v>
      </c>
      <c r="C76" s="2"/>
      <c r="D76" s="2"/>
      <c r="E76" s="2"/>
      <c r="F76" s="2"/>
      <c r="G76" s="11" t="n">
        <f aca="false">IF(Calculadora!C31="Origem",0,IF(Calculadora!C31="Centro",SUM(G69:I69)/3,Calculadora!E32))</f>
        <v>2</v>
      </c>
      <c r="H76" s="2"/>
      <c r="I76" s="2"/>
      <c r="J76" s="2"/>
      <c r="K76" s="2"/>
      <c r="L76" s="2"/>
      <c r="M76" s="2"/>
      <c r="N76" s="2"/>
      <c r="O76" s="2"/>
    </row>
    <row r="77" customFormat="false" ht="23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23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customFormat="false" ht="25" hidden="false" customHeight="true" outlineLevel="0" collapsed="false">
      <c r="A79" s="2"/>
      <c r="B79" s="5" t="s">
        <v>70</v>
      </c>
      <c r="C79" s="5"/>
      <c r="D79" s="5"/>
      <c r="E79" s="5"/>
      <c r="F79" s="2"/>
      <c r="G79" s="5" t="s">
        <v>71</v>
      </c>
      <c r="H79" s="5"/>
      <c r="I79" s="5"/>
      <c r="J79" s="5"/>
      <c r="K79" s="2"/>
      <c r="L79" s="2"/>
      <c r="M79" s="2"/>
      <c r="N79" s="2"/>
      <c r="O79" s="2"/>
    </row>
    <row r="80" customFormat="false" ht="23" hidden="false" customHeight="true" outlineLevel="0" collapsed="false">
      <c r="A80" s="2"/>
      <c r="B80" s="11" t="n">
        <f aca="false">IF(B84=0,0,(G74-B74)/IF(B84=0,1,B84))</f>
        <v>-0.0915137749322767</v>
      </c>
      <c r="C80" s="2"/>
      <c r="D80" s="2"/>
      <c r="E80" s="2"/>
      <c r="F80" s="2"/>
      <c r="G80" s="11" t="n">
        <f aca="false">IF(G84=0,0,(B81*Calculadora!E33-B82*Calculadora!D33)/IF(G84=0,1,G84))</f>
        <v>-0.351123441588392</v>
      </c>
      <c r="H80" s="2"/>
      <c r="I80" s="2"/>
      <c r="J80" s="2"/>
      <c r="K80" s="2"/>
      <c r="L80" s="2"/>
      <c r="M80" s="2"/>
      <c r="N80" s="2"/>
      <c r="O80" s="2"/>
    </row>
    <row r="81" customFormat="false" ht="23" hidden="false" customHeight="true" outlineLevel="0" collapsed="false">
      <c r="A81" s="2"/>
      <c r="B81" s="11" t="n">
        <f aca="false">IF(B84=0,0,(G75-B75)/IF(B84=0,1,B84))</f>
        <v>-0.99521230238851</v>
      </c>
      <c r="C81" s="2"/>
      <c r="D81" s="2"/>
      <c r="E81" s="2"/>
      <c r="F81" s="2"/>
      <c r="G81" s="11" t="n">
        <f aca="false">IF(G84=0,0,(B82*Calculadora!C33-B80*Calculadora!E33)/IF(G84=0,1,G84))</f>
        <v>0</v>
      </c>
      <c r="H81" s="2"/>
      <c r="I81" s="2"/>
      <c r="J81" s="2"/>
      <c r="K81" s="2"/>
      <c r="L81" s="2"/>
      <c r="M81" s="2"/>
      <c r="N81" s="2"/>
      <c r="O81" s="2"/>
    </row>
    <row r="82" customFormat="false" ht="23" hidden="false" customHeight="true" outlineLevel="0" collapsed="false">
      <c r="A82" s="2"/>
      <c r="B82" s="11" t="n">
        <f aca="false">IF(B84=0,0,(G76-B76)/IF(B84=0,1,B84))</f>
        <v>0.0343176655996038</v>
      </c>
      <c r="C82" s="2"/>
      <c r="D82" s="2"/>
      <c r="E82" s="2"/>
      <c r="F82" s="2"/>
      <c r="G82" s="11" t="n">
        <f aca="false">IF(G84=0,0,(B80*Calculadora!D33-B81*Calculadora!C33)/IF(G84=0,1,G84))</f>
        <v>-0.936329177569044</v>
      </c>
      <c r="H82" s="2"/>
      <c r="I82" s="2"/>
      <c r="J82" s="2"/>
      <c r="K82" s="2"/>
      <c r="L82" s="2"/>
      <c r="M82" s="2"/>
      <c r="N82" s="2"/>
      <c r="O82" s="2"/>
    </row>
    <row r="83" customFormat="false" ht="23" hidden="false" customHeight="true" outlineLevel="0" collapsed="false">
      <c r="A83" s="2"/>
      <c r="B83" s="11"/>
      <c r="C83" s="2"/>
      <c r="D83" s="2"/>
      <c r="E83" s="2"/>
      <c r="F83" s="2"/>
      <c r="G83" s="11"/>
      <c r="H83" s="2"/>
      <c r="I83" s="2"/>
      <c r="J83" s="2"/>
      <c r="K83" s="2"/>
      <c r="L83" s="2"/>
      <c r="M83" s="2"/>
      <c r="N83" s="2"/>
      <c r="O83" s="2"/>
    </row>
    <row r="84" customFormat="false" ht="23" hidden="false" customHeight="true" outlineLevel="0" collapsed="false">
      <c r="A84" s="2"/>
      <c r="B84" s="11" t="n">
        <f aca="false">SQRT((G74-B74)^2+(G75-B75)^2+(G76-B76)^2)</f>
        <v>29.1395111680191</v>
      </c>
      <c r="C84" s="2"/>
      <c r="D84" s="2"/>
      <c r="E84" s="2"/>
      <c r="F84" s="2"/>
      <c r="G84" s="11" t="n">
        <f aca="false">SQRT((B81*Calculadora!E33-B82*Calculadora!D33)^2+(B82*Calculadora!C33-B80*Calculadora!E33)^2+(B80*Calculadora!D33-B81*Calculadora!C33)^2)</f>
        <v>0.0977367544711898</v>
      </c>
      <c r="H84" s="2"/>
      <c r="I84" s="2"/>
      <c r="J84" s="2"/>
      <c r="K84" s="2"/>
      <c r="L84" s="2"/>
      <c r="M84" s="2"/>
      <c r="N84" s="2"/>
      <c r="O84" s="2"/>
    </row>
    <row r="85" customFormat="false" ht="23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customFormat="false" ht="25" hidden="false" customHeight="true" outlineLevel="0" collapsed="false">
      <c r="A86" s="2"/>
      <c r="B86" s="5" t="s">
        <v>72</v>
      </c>
      <c r="C86" s="5"/>
      <c r="D86" s="5"/>
      <c r="E86" s="5"/>
      <c r="F86" s="2"/>
      <c r="G86" s="5" t="s">
        <v>73</v>
      </c>
      <c r="H86" s="5"/>
      <c r="I86" s="5"/>
      <c r="J86" s="5"/>
      <c r="K86" s="2"/>
      <c r="L86" s="2"/>
      <c r="M86" s="2"/>
      <c r="N86" s="2"/>
      <c r="O86" s="2"/>
    </row>
    <row r="87" customFormat="false" ht="23" hidden="false" customHeight="true" outlineLevel="0" collapsed="false">
      <c r="A87" s="2"/>
      <c r="B87" s="11" t="n">
        <f aca="false">G81*B82-G82*B81</f>
        <v>-0.931846316602028</v>
      </c>
      <c r="C87" s="2"/>
      <c r="D87" s="2"/>
      <c r="E87" s="2"/>
      <c r="F87" s="2"/>
      <c r="G87" s="7" t="n">
        <f aca="false">G80</f>
        <v>-0.351123441588392</v>
      </c>
      <c r="H87" s="7" t="n">
        <f aca="false">G81</f>
        <v>0</v>
      </c>
      <c r="I87" s="7" t="n">
        <f aca="false">G82</f>
        <v>-0.936329177569044</v>
      </c>
      <c r="J87" s="7" t="n">
        <f aca="false">-(G80)*B74-(G81)*B75-(G82)*B76</f>
        <v>1.98969950233422</v>
      </c>
      <c r="K87" s="2"/>
      <c r="L87" s="2"/>
      <c r="M87" s="2"/>
      <c r="N87" s="2"/>
      <c r="O87" s="2"/>
    </row>
    <row r="88" customFormat="false" ht="23" hidden="false" customHeight="true" outlineLevel="0" collapsed="false">
      <c r="A88" s="2"/>
      <c r="B88" s="11" t="n">
        <f aca="false">G82*B80-G80*B82</f>
        <v>0.0977367544711897</v>
      </c>
      <c r="C88" s="2"/>
      <c r="D88" s="2"/>
      <c r="E88" s="2"/>
      <c r="F88" s="2"/>
      <c r="G88" s="7" t="n">
        <f aca="false">B87</f>
        <v>-0.931846316602028</v>
      </c>
      <c r="H88" s="7" t="n">
        <f aca="false">B88</f>
        <v>0.0977367544711897</v>
      </c>
      <c r="I88" s="7" t="n">
        <f aca="false">B89</f>
        <v>0.349442368725761</v>
      </c>
      <c r="J88" s="7" t="n">
        <f aca="false">-(B87)*B74-(B88)*B75-(B89)*B76</f>
        <v>-0.681479561997747</v>
      </c>
      <c r="K88" s="2"/>
      <c r="L88" s="2"/>
      <c r="M88" s="2"/>
      <c r="N88" s="2"/>
      <c r="O88" s="2"/>
    </row>
    <row r="89" customFormat="false" ht="23" hidden="false" customHeight="true" outlineLevel="0" collapsed="false">
      <c r="A89" s="2"/>
      <c r="B89" s="11" t="n">
        <f aca="false">G80*B81-G81*B80</f>
        <v>0.349442368725761</v>
      </c>
      <c r="C89" s="2"/>
      <c r="D89" s="2"/>
      <c r="E89" s="2"/>
      <c r="F89" s="2"/>
      <c r="G89" s="7" t="n">
        <f aca="false">-B80</f>
        <v>0.0915137749322767</v>
      </c>
      <c r="H89" s="7" t="n">
        <f aca="false">-B81</f>
        <v>0.99521230238851</v>
      </c>
      <c r="I89" s="7" t="n">
        <f aca="false">-B82</f>
        <v>-0.0343176655996038</v>
      </c>
      <c r="J89" s="7" t="n">
        <f aca="false">-(-B80)*B74-(-B81)*B75-(-B82)*B76</f>
        <v>-32.0870173356295</v>
      </c>
      <c r="K89" s="2"/>
      <c r="L89" s="2"/>
      <c r="M89" s="2"/>
      <c r="N89" s="2"/>
      <c r="O89" s="2"/>
    </row>
    <row r="90" customFormat="false" ht="23" hidden="false" customHeight="true" outlineLevel="0" collapsed="false">
      <c r="A90" s="2"/>
      <c r="B90" s="2"/>
      <c r="C90" s="2"/>
      <c r="D90" s="2"/>
      <c r="E90" s="2"/>
      <c r="F90" s="2"/>
      <c r="G90" s="7" t="n">
        <f aca="false">0</f>
        <v>0</v>
      </c>
      <c r="H90" s="7" t="n">
        <f aca="false">0</f>
        <v>0</v>
      </c>
      <c r="I90" s="7" t="n">
        <f aca="false">0</f>
        <v>0</v>
      </c>
      <c r="J90" s="7" t="n">
        <f aca="false">1</f>
        <v>1</v>
      </c>
      <c r="K90" s="2"/>
      <c r="L90" s="2"/>
      <c r="M90" s="2"/>
      <c r="N90" s="2"/>
      <c r="O90" s="2"/>
    </row>
    <row r="91" customFormat="false" ht="23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customFormat="false" ht="23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customFormat="false" ht="25" hidden="false" customHeight="true" outlineLevel="0" collapsed="false">
      <c r="A93" s="2"/>
      <c r="B93" s="5" t="s">
        <v>74</v>
      </c>
      <c r="C93" s="5"/>
      <c r="D93" s="5"/>
      <c r="E93" s="5"/>
      <c r="F93" s="2"/>
      <c r="G93" s="5" t="s">
        <v>75</v>
      </c>
      <c r="H93" s="5"/>
      <c r="I93" s="5"/>
      <c r="J93" s="5"/>
      <c r="K93" s="2"/>
      <c r="L93" s="2"/>
      <c r="M93" s="2"/>
      <c r="N93" s="2"/>
      <c r="O93" s="2"/>
    </row>
    <row r="94" customFormat="false" ht="23" hidden="false" customHeight="true" outlineLevel="0" collapsed="false">
      <c r="A94" s="2"/>
      <c r="B94" s="7" t="n">
        <f aca="false">IF(OR(Calculadora!C37&lt;=0,Calculadora!C37&gt;=180,Calculadora!E38&lt;=0,Calculadora!C38&lt;=0),0,IF(Calculadora!E37="Horizontal",1/TAN(Calculadora!C37*PI()/360),(1/TAN(Calculadora!C37*PI()/360))/(Calculadora!C38/Calculadora!E38)))</f>
        <v>1.29903810567666</v>
      </c>
      <c r="C94" s="7" t="n">
        <f aca="false">0</f>
        <v>0</v>
      </c>
      <c r="D94" s="7" t="n">
        <f aca="false">0</f>
        <v>0</v>
      </c>
      <c r="E94" s="7" t="n">
        <f aca="false">0</f>
        <v>0</v>
      </c>
      <c r="F94" s="2"/>
      <c r="G94" s="7" t="n">
        <f aca="false">G87*B67+H87*B68+I87*B69+J87*B70</f>
        <v>-0.351123441588392</v>
      </c>
      <c r="H94" s="7" t="n">
        <f aca="false">G87*C67+H87*C68+I87*C69+J87*C70</f>
        <v>0.608163640559537</v>
      </c>
      <c r="I94" s="7" t="n">
        <f aca="false">G87*D67+H87*D68+I87*D69+J87*D70</f>
        <v>-1.87265835513809</v>
      </c>
      <c r="J94" s="7" t="n">
        <f aca="false">G87*E67+H87*E68+I87*E69+J87*E70</f>
        <v>2.0378669357937</v>
      </c>
      <c r="K94" s="2"/>
      <c r="L94" s="2"/>
      <c r="M94" s="2"/>
      <c r="N94" s="2"/>
      <c r="O94" s="2"/>
    </row>
    <row r="95" customFormat="false" ht="23" hidden="false" customHeight="true" outlineLevel="0" collapsed="false">
      <c r="A95" s="2"/>
      <c r="B95" s="7" t="n">
        <f aca="false">0</f>
        <v>0</v>
      </c>
      <c r="C95" s="7" t="n">
        <f aca="false">IF(OR(Calculadora!C37&lt;=0,Calculadora!C37&gt;=180,Calculadora!E38&lt;=0,Calculadora!C38&lt;=0),0,IF(Calculadora!E37="Vertical",1/TAN(Calculadora!C37*PI()/360),(1/TAN(Calculadora!C37*PI()/360))*(Calculadora!C38/Calculadora!E38)))</f>
        <v>1.73205080756888</v>
      </c>
      <c r="D95" s="7" t="n">
        <f aca="false">0</f>
        <v>0</v>
      </c>
      <c r="E95" s="7" t="n">
        <f aca="false">0</f>
        <v>0</v>
      </c>
      <c r="F95" s="2"/>
      <c r="G95" s="7" t="n">
        <f aca="false">G88*B67+H88*B68+I88*B69+J88*B70</f>
        <v>-0.762561292091043</v>
      </c>
      <c r="H95" s="7" t="n">
        <f aca="false">G88*C67+H88*C68+I88*C69+J88*C70</f>
        <v>1.71174191967182</v>
      </c>
      <c r="I95" s="7" t="n">
        <f aca="false">G88*D67+H88*D68+I88*D69+J88*D70</f>
        <v>0.698884737451521</v>
      </c>
      <c r="J95" s="7" t="n">
        <f aca="false">G88*E67+H88*E68+I88*E69+J88*E70</f>
        <v>-6.27880813655481</v>
      </c>
      <c r="K95" s="2"/>
      <c r="L95" s="2"/>
      <c r="M95" s="2"/>
      <c r="N95" s="2"/>
      <c r="O95" s="2"/>
    </row>
    <row r="96" customFormat="false" ht="23" hidden="false" customHeight="true" outlineLevel="0" collapsed="false">
      <c r="A96" s="2"/>
      <c r="B96" s="7" t="n">
        <f aca="false">0</f>
        <v>0</v>
      </c>
      <c r="C96" s="7" t="n">
        <f aca="false">0</f>
        <v>0</v>
      </c>
      <c r="D96" s="7" t="n">
        <f aca="false">IF(Calculadora!E39=Calculadora!C39,0,-(Calculadora!E39+Calculadora!C39)/IF(Calculadora!E39=Calculadora!C39,1,Calculadora!E39-Calculadora!C39))</f>
        <v>-1.08333333333333</v>
      </c>
      <c r="E96" s="7" t="n">
        <f aca="false">IF(Calculadora!E39=Calculadora!C39,0,-2*Calculadora!E39*Calculadora!C39/IF(Calculadora!E39=Calculadora!C39,1,Calculadora!E39-Calculadora!C39))</f>
        <v>-2.08333333333333</v>
      </c>
      <c r="F96" s="2"/>
      <c r="G96" s="7" t="n">
        <f aca="false">G89*B67+H89*B68+I89*B69+J89*B70</f>
        <v>1.81527204698678</v>
      </c>
      <c r="H96" s="7" t="n">
        <f aca="false">G89*C67+H89*C68+I89*C69+J89*C70</f>
        <v>0.836705794613384</v>
      </c>
      <c r="I96" s="7" t="n">
        <f aca="false">G89*D67+H89*D68+I89*D69+J89*D70</f>
        <v>-0.0686353311992076</v>
      </c>
      <c r="J96" s="7" t="n">
        <f aca="false">G89*E67+H89*E68+I89*E69+J89*E70</f>
        <v>-32.1174485717898</v>
      </c>
      <c r="K96" s="2"/>
      <c r="L96" s="2"/>
      <c r="M96" s="2"/>
      <c r="N96" s="2"/>
      <c r="O96" s="2"/>
    </row>
    <row r="97" customFormat="false" ht="23" hidden="false" customHeight="true" outlineLevel="0" collapsed="false">
      <c r="A97" s="2"/>
      <c r="B97" s="7" t="n">
        <f aca="false">0</f>
        <v>0</v>
      </c>
      <c r="C97" s="7" t="n">
        <f aca="false">0</f>
        <v>0</v>
      </c>
      <c r="D97" s="7" t="n">
        <f aca="false">-1</f>
        <v>-1</v>
      </c>
      <c r="E97" s="7" t="n">
        <f aca="false">0</f>
        <v>0</v>
      </c>
      <c r="F97" s="2"/>
      <c r="G97" s="7" t="n">
        <f aca="false">G90*B67+H90*B68+I90*B69+J90*B70</f>
        <v>0</v>
      </c>
      <c r="H97" s="7" t="n">
        <f aca="false">G90*C67+H90*C68+I90*C69+J90*C70</f>
        <v>0</v>
      </c>
      <c r="I97" s="7" t="n">
        <f aca="false">G90*D67+H90*D68+I90*D69+J90*D70</f>
        <v>0</v>
      </c>
      <c r="J97" s="7" t="n">
        <f aca="false">G90*E67+H90*E68+I90*E69+J90*E70</f>
        <v>1</v>
      </c>
      <c r="K97" s="2"/>
      <c r="L97" s="2"/>
      <c r="M97" s="2"/>
      <c r="N97" s="2"/>
      <c r="O97" s="2"/>
    </row>
    <row r="98" customFormat="false" ht="23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customFormat="false" ht="23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customFormat="false" ht="25" hidden="false" customHeight="true" outlineLevel="0" collapsed="false">
      <c r="A100" s="2"/>
      <c r="B100" s="5" t="s">
        <v>76</v>
      </c>
      <c r="C100" s="5"/>
      <c r="D100" s="5"/>
      <c r="E100" s="5"/>
      <c r="F100" s="2"/>
      <c r="G100" s="5" t="s">
        <v>77</v>
      </c>
      <c r="H100" s="5"/>
      <c r="I100" s="5"/>
      <c r="J100" s="5"/>
      <c r="K100" s="2"/>
      <c r="L100" s="2"/>
      <c r="M100" s="2"/>
      <c r="N100" s="2"/>
      <c r="O100" s="2"/>
    </row>
    <row r="101" customFormat="false" ht="23" hidden="false" customHeight="true" outlineLevel="0" collapsed="false">
      <c r="A101" s="2"/>
      <c r="B101" s="7" t="n">
        <f aca="false">B94*G94+C94*G95+D94*G96+E94*G97</f>
        <v>-0.456122730419653</v>
      </c>
      <c r="C101" s="7" t="n">
        <f aca="false">B94*H94+C94*H95+D94*H96+E94*H97</f>
        <v>0.790027743573881</v>
      </c>
      <c r="D101" s="7" t="n">
        <f aca="false">B94*I94+C94*I95+D94*I96+E94*I97</f>
        <v>-2.43265456223815</v>
      </c>
      <c r="E101" s="7" t="n">
        <f aca="false">B94*J94+C94*J95+D94*J96+E94*J97</f>
        <v>2.64726680389454</v>
      </c>
      <c r="F101" s="2"/>
      <c r="G101" s="7" t="n">
        <f aca="false">B101*B8+C101*B9+D101*B10+E101*B11</f>
        <v>-3.05280485346733</v>
      </c>
      <c r="H101" s="7" t="n">
        <f aca="false">B101*C8+C101*C9+D101*C10+E101*C11</f>
        <v>2.15547098906525</v>
      </c>
      <c r="I101" s="7" t="n">
        <f aca="false">B101*D8+C101*D9+D101*D10+E101*D11</f>
        <v>0.897333864402077</v>
      </c>
      <c r="J101" s="2"/>
      <c r="K101" s="2"/>
      <c r="L101" s="2"/>
      <c r="M101" s="2"/>
      <c r="N101" s="2"/>
      <c r="O101" s="2"/>
    </row>
    <row r="102" customFormat="false" ht="23" hidden="false" customHeight="true" outlineLevel="0" collapsed="false">
      <c r="A102" s="2"/>
      <c r="B102" s="7" t="n">
        <f aca="false">B95*G94+C95*G95+D95*G96+E95*G97</f>
        <v>-1.32079490178706</v>
      </c>
      <c r="C102" s="7" t="n">
        <f aca="false">B95*H94+C95*H95+D95*H96+E95*H97</f>
        <v>2.96482397431707</v>
      </c>
      <c r="D102" s="7" t="n">
        <f aca="false">B95*I94+C95*I95+D95*I96+E95*I97</f>
        <v>1.21050387390047</v>
      </c>
      <c r="E102" s="7" t="n">
        <f aca="false">B95*J94+C95*J95+D95*J96+E95*J97</f>
        <v>-10.8752147034898</v>
      </c>
      <c r="F102" s="2"/>
      <c r="G102" s="7" t="n">
        <f aca="false">B102*B8+C102*B9+D102*B10+E102*B11</f>
        <v>-12.5642796370139</v>
      </c>
      <c r="H102" s="7" t="n">
        <f aca="false">B102*C8+C102*C9+D102*C10+E102*C11</f>
        <v>10.3044394024424</v>
      </c>
      <c r="I102" s="7" t="n">
        <f aca="false">B102*D8+C102*D9+D102*D10+E102*D11</f>
        <v>2.25984023457147</v>
      </c>
      <c r="J102" s="2"/>
      <c r="K102" s="2"/>
      <c r="L102" s="2"/>
      <c r="M102" s="2"/>
      <c r="N102" s="2"/>
      <c r="O102" s="2"/>
    </row>
    <row r="103" customFormat="false" ht="23" hidden="false" customHeight="true" outlineLevel="0" collapsed="false">
      <c r="A103" s="2"/>
      <c r="B103" s="7" t="n">
        <f aca="false">B96*G94+C96*G95+D96*G96+E96*G97</f>
        <v>-1.96654471756901</v>
      </c>
      <c r="C103" s="7" t="n">
        <f aca="false">B96*H94+C96*H95+D96*H96+E96*H97</f>
        <v>-0.906431277497832</v>
      </c>
      <c r="D103" s="7" t="n">
        <f aca="false">B96*I94+C96*I95+D96*I96+E96*I97</f>
        <v>0.0743549421324749</v>
      </c>
      <c r="E103" s="7" t="n">
        <f aca="false">B96*J94+C96*J95+D96*J96+E96*J97</f>
        <v>32.7105692861056</v>
      </c>
      <c r="F103" s="2"/>
      <c r="G103" s="7" t="n">
        <f aca="false">B103*B8+C103*B9+D103*B10+E103*B11</f>
        <v>40.0417191580376</v>
      </c>
      <c r="H103" s="7" t="n">
        <f aca="false">B103*C8+C103*C9+D103*C10+E103*C11</f>
        <v>12.902129367476</v>
      </c>
      <c r="I103" s="7" t="n">
        <f aca="false">B103*D8+C103*D9+D103*D10+E103*D11</f>
        <v>35.5095627705485</v>
      </c>
      <c r="J103" s="2"/>
      <c r="K103" s="2"/>
      <c r="L103" s="2"/>
      <c r="M103" s="2"/>
      <c r="N103" s="2"/>
      <c r="O103" s="2"/>
    </row>
    <row r="104" customFormat="false" ht="23" hidden="false" customHeight="true" outlineLevel="0" collapsed="false">
      <c r="A104" s="2"/>
      <c r="B104" s="7" t="n">
        <f aca="false">B97*G94+C97*G95+D97*G96+E97*G97</f>
        <v>-1.81527204698678</v>
      </c>
      <c r="C104" s="7" t="n">
        <f aca="false">B97*H94+C97*H95+D97*H96+E97*H97</f>
        <v>-0.836705794613384</v>
      </c>
      <c r="D104" s="7" t="n">
        <f aca="false">B97*I94+C97*I95+D97*I96+E97*I97</f>
        <v>0.0686353311992076</v>
      </c>
      <c r="E104" s="7" t="n">
        <f aca="false">B97*J94+C97*J95+D97*J96+E97*J97</f>
        <v>32.1174485717898</v>
      </c>
      <c r="F104" s="2"/>
      <c r="G104" s="7" t="n">
        <f aca="false">B104*B8+C104*B9+D104*B10+E104*B11</f>
        <v>38.8846638381886</v>
      </c>
      <c r="H104" s="7" t="n">
        <f aca="false">B104*C8+C104*C9+D104*C10+E104*C11</f>
        <v>13.8327348007471</v>
      </c>
      <c r="I104" s="7" t="n">
        <f aca="false">B104*D8+C104*D9+D104*D10+E104*D11</f>
        <v>34.7011348651217</v>
      </c>
      <c r="J104" s="2"/>
      <c r="K104" s="2"/>
      <c r="L104" s="2"/>
      <c r="M104" s="2"/>
      <c r="N104" s="2"/>
      <c r="O104" s="2"/>
    </row>
    <row r="105" customFormat="false" ht="23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customFormat="false" ht="23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customFormat="false" ht="23" hidden="false" customHeight="true" outlineLevel="0" collapsed="false">
      <c r="A107" s="2"/>
      <c r="B107" s="2" t="s">
        <v>78</v>
      </c>
      <c r="C107" s="2" t="str">
        <f aca="false">IF(COUNT(Calculadora!C8:E10)&lt;&gt;9,"Preencha os três vértices",IF(COUNT(Calculadora!C14,Calculadora!C19,Calculadora!C25:E25,Calculadora!C30:E30,Calculadora!C32:E33,Calculadora!C37,Calculadora!C38,Calculadora!E38,Calculadora!C39,Calculadora!E39)&lt;&gt;19,"Preencha as configurações",IF(OR(Calculadora!C37&lt;=0,Calculadora!C37&gt;=180,Calculadora!C38&lt;=0,Calculadora!E38&lt;=0,Calculadora!C39&lt;=0,Calculadora!E39&lt;=Calculadora!C39),"Confira FOV, janela e planos",IF(B84=0,"Olho igual ao target",IF(G84=0,"Up nulo ou paralelo à câmera","OK")))))</f>
        <v>OK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customFormat="false" ht="23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23" hidden="false" customHeight="true" outlineLevel="0" collapsed="false">
      <c r="A109" s="2"/>
      <c r="B109" s="2" t="s">
        <v>79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customFormat="false" ht="23" hidden="false" customHeight="true" outlineLevel="0" collapsed="false">
      <c r="A110" s="2"/>
      <c r="B110" s="2" t="s">
        <v>80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customFormat="false" ht="23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customFormat="false" ht="23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customFormat="false" ht="25" hidden="false" customHeight="true" outlineLevel="0" collapsed="false">
      <c r="A113" s="2"/>
      <c r="B113" s="5" t="s">
        <v>81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customFormat="false" ht="23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customFormat="false" ht="23" hidden="false" customHeight="true" outlineLevel="0" collapsed="false">
      <c r="A115" s="2"/>
      <c r="B115" s="2" t="s">
        <v>82</v>
      </c>
      <c r="C115" s="2" t="s">
        <v>9</v>
      </c>
      <c r="D115" s="2" t="s">
        <v>10</v>
      </c>
      <c r="E115" s="2" t="s">
        <v>11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23" hidden="false" customHeight="true" outlineLevel="0" collapsed="false">
      <c r="A116" s="2"/>
      <c r="B116" s="2" t="s">
        <v>83</v>
      </c>
      <c r="C116" s="11" t="n">
        <f aca="false">G104+G101</f>
        <v>35.8318589847213</v>
      </c>
      <c r="D116" s="11" t="n">
        <f aca="false">H104+H101</f>
        <v>15.9882057898123</v>
      </c>
      <c r="E116" s="11" t="n">
        <f aca="false">I104+I101</f>
        <v>35.5984687295238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23" hidden="false" customHeight="true" outlineLevel="0" collapsed="false">
      <c r="A117" s="2"/>
      <c r="B117" s="2" t="s">
        <v>84</v>
      </c>
      <c r="C117" s="11" t="n">
        <f aca="false">G104-G101</f>
        <v>41.9374686916559</v>
      </c>
      <c r="D117" s="11" t="n">
        <f aca="false">H104-H101</f>
        <v>11.6772638116818</v>
      </c>
      <c r="E117" s="11" t="n">
        <f aca="false">I104-I101</f>
        <v>33.8038010007196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23" hidden="false" customHeight="true" outlineLevel="0" collapsed="false">
      <c r="A118" s="2"/>
      <c r="B118" s="2" t="s">
        <v>85</v>
      </c>
      <c r="C118" s="11" t="n">
        <f aca="false">G104+G102</f>
        <v>26.3203842011747</v>
      </c>
      <c r="D118" s="11" t="n">
        <f aca="false">H104+H102</f>
        <v>24.1371742031895</v>
      </c>
      <c r="E118" s="11" t="n">
        <f aca="false">I104+I102</f>
        <v>36.9609750996932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customFormat="false" ht="23" hidden="false" customHeight="true" outlineLevel="0" collapsed="false">
      <c r="A119" s="2"/>
      <c r="B119" s="2" t="s">
        <v>86</v>
      </c>
      <c r="C119" s="11" t="n">
        <f aca="false">G104-G102</f>
        <v>51.4489434752025</v>
      </c>
      <c r="D119" s="11" t="n">
        <f aca="false">H104-H102</f>
        <v>3.52829539830466</v>
      </c>
      <c r="E119" s="11" t="n">
        <f aca="false">I104-I102</f>
        <v>32.4412946305502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customFormat="false" ht="23" hidden="false" customHeight="true" outlineLevel="0" collapsed="false">
      <c r="A120" s="2"/>
      <c r="B120" s="2" t="s">
        <v>87</v>
      </c>
      <c r="C120" s="11" t="n">
        <f aca="false">G104+G103</f>
        <v>78.9263829962262</v>
      </c>
      <c r="D120" s="11" t="n">
        <f aca="false">H104+H103</f>
        <v>26.7348641682231</v>
      </c>
      <c r="E120" s="11" t="n">
        <f aca="false">I104+I103</f>
        <v>70.2106976356702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customFormat="false" ht="23" hidden="false" customHeight="true" outlineLevel="0" collapsed="false">
      <c r="A121" s="2"/>
      <c r="B121" s="2" t="s">
        <v>88</v>
      </c>
      <c r="C121" s="11" t="n">
        <f aca="false">G104-G103</f>
        <v>-1.15705531984904</v>
      </c>
      <c r="D121" s="11" t="n">
        <f aca="false">H104-H103</f>
        <v>0.930605433271079</v>
      </c>
      <c r="E121" s="11" t="n">
        <f aca="false">I104-I103</f>
        <v>-0.808427905426797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customFormat="false" ht="23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customFormat="false" ht="23" hidden="false" customHeight="true" outlineLevel="0" collapsed="false">
      <c r="A123" s="2"/>
      <c r="B123" s="2" t="s">
        <v>89</v>
      </c>
      <c r="C123" s="2" t="str">
        <f aca="false">IF(C107&lt;&gt;"OK",C107,IF(MIN(C116:E121)&gt;=-0.000000001,"Dentro do volume",IF(SUM(O138:O173)&gt;0,"Parcialmente no volume","Fora do volume")))</f>
        <v>Parcialmente no volume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customFormat="false" ht="23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customFormat="false" ht="23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customFormat="false" ht="23" hidden="false" customHeight="true" outlineLevel="0" collapsed="false">
      <c r="A126" s="2"/>
      <c r="B126" s="2" t="s">
        <v>90</v>
      </c>
      <c r="C126" s="2" t="s">
        <v>91</v>
      </c>
      <c r="D126" s="2" t="s">
        <v>92</v>
      </c>
      <c r="E126" s="2" t="s">
        <v>93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23" hidden="false" customHeight="true" outlineLevel="0" collapsed="false">
      <c r="A127" s="2"/>
      <c r="B127" s="2" t="s">
        <v>94</v>
      </c>
      <c r="C127" s="11" t="n">
        <v>1</v>
      </c>
      <c r="D127" s="11" t="n">
        <v>0</v>
      </c>
      <c r="E127" s="11" t="n">
        <v>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customFormat="false" ht="23" hidden="false" customHeight="true" outlineLevel="0" collapsed="false">
      <c r="A128" s="2"/>
      <c r="B128" s="2" t="s">
        <v>95</v>
      </c>
      <c r="C128" s="11" t="n">
        <v>0</v>
      </c>
      <c r="D128" s="11" t="n">
        <v>1</v>
      </c>
      <c r="E128" s="11" t="n">
        <v>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23" hidden="false" customHeight="true" outlineLevel="0" collapsed="false">
      <c r="A129" s="2"/>
      <c r="B129" s="2" t="s">
        <v>96</v>
      </c>
      <c r="C129" s="11" t="n">
        <v>-1</v>
      </c>
      <c r="D129" s="11" t="n">
        <v>-1</v>
      </c>
      <c r="E129" s="11" t="n">
        <v>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customFormat="false" ht="23" hidden="false" customHeight="true" outlineLevel="0" collapsed="false">
      <c r="A130" s="2"/>
      <c r="B130" s="2" t="s">
        <v>97</v>
      </c>
      <c r="C130" s="11" t="n">
        <f aca="false">D116-C116</f>
        <v>-19.8436531949089</v>
      </c>
      <c r="D130" s="11" t="n">
        <f aca="false">E116-C116</f>
        <v>-0.233390255197506</v>
      </c>
      <c r="E130" s="11" t="n">
        <f aca="false">C116</f>
        <v>35.8318589847213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23" hidden="false" customHeight="true" outlineLevel="0" collapsed="false">
      <c r="A131" s="2"/>
      <c r="B131" s="2" t="s">
        <v>98</v>
      </c>
      <c r="C131" s="11" t="n">
        <f aca="false">D117-C117</f>
        <v>-30.2602048799741</v>
      </c>
      <c r="D131" s="11" t="n">
        <f aca="false">E117-C117</f>
        <v>-8.13366769093632</v>
      </c>
      <c r="E131" s="11" t="n">
        <f aca="false">C117</f>
        <v>41.9374686916559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customFormat="false" ht="23" hidden="false" customHeight="true" outlineLevel="0" collapsed="false">
      <c r="A132" s="2"/>
      <c r="B132" s="2" t="s">
        <v>99</v>
      </c>
      <c r="C132" s="11" t="n">
        <f aca="false">D118-C118</f>
        <v>-2.18320999798519</v>
      </c>
      <c r="D132" s="11" t="n">
        <f aca="false">E118-C118</f>
        <v>10.6405908985184</v>
      </c>
      <c r="E132" s="11" t="n">
        <f aca="false">C118</f>
        <v>26.3203842011747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customFormat="false" ht="23" hidden="false" customHeight="true" outlineLevel="0" collapsed="false">
      <c r="A133" s="2"/>
      <c r="B133" s="2" t="s">
        <v>100</v>
      </c>
      <c r="C133" s="11" t="n">
        <f aca="false">D119-C119</f>
        <v>-47.9206480768978</v>
      </c>
      <c r="D133" s="11" t="n">
        <f aca="false">E119-C119</f>
        <v>-19.0076488446523</v>
      </c>
      <c r="E133" s="11" t="n">
        <f aca="false">C119</f>
        <v>51.4489434752025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customFormat="false" ht="23" hidden="false" customHeight="true" outlineLevel="0" collapsed="false">
      <c r="A134" s="2"/>
      <c r="B134" s="2" t="s">
        <v>101</v>
      </c>
      <c r="C134" s="11" t="n">
        <f aca="false">D120-C120</f>
        <v>-52.1915188280031</v>
      </c>
      <c r="D134" s="11" t="n">
        <f aca="false">E120-C120</f>
        <v>-8.71568536055607</v>
      </c>
      <c r="E134" s="11" t="n">
        <f aca="false">C120</f>
        <v>78.9263829962262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customFormat="false" ht="23" hidden="false" customHeight="true" outlineLevel="0" collapsed="false">
      <c r="A135" s="2"/>
      <c r="B135" s="2" t="s">
        <v>102</v>
      </c>
      <c r="C135" s="11" t="n">
        <f aca="false">D121-C121</f>
        <v>2.08766075312012</v>
      </c>
      <c r="D135" s="11" t="n">
        <f aca="false">E121-C121</f>
        <v>0.348627414422246</v>
      </c>
      <c r="E135" s="11" t="n">
        <f aca="false">C121</f>
        <v>-1.15705531984904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customFormat="false" ht="23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23" hidden="false" customHeight="true" outlineLevel="0" collapsed="false">
      <c r="A137" s="2"/>
      <c r="B137" s="2" t="s">
        <v>103</v>
      </c>
      <c r="C137" s="2" t="s">
        <v>104</v>
      </c>
      <c r="D137" s="2" t="s">
        <v>105</v>
      </c>
      <c r="E137" s="2" t="s">
        <v>106</v>
      </c>
      <c r="F137" s="2" t="s">
        <v>107</v>
      </c>
      <c r="G137" s="2" t="s">
        <v>108</v>
      </c>
      <c r="H137" s="2" t="s">
        <v>109</v>
      </c>
      <c r="I137" s="2" t="s">
        <v>110</v>
      </c>
      <c r="J137" s="2" t="s">
        <v>111</v>
      </c>
      <c r="K137" s="2" t="s">
        <v>112</v>
      </c>
      <c r="L137" s="2" t="s">
        <v>113</v>
      </c>
      <c r="M137" s="2" t="s">
        <v>114</v>
      </c>
      <c r="N137" s="2" t="s">
        <v>115</v>
      </c>
      <c r="O137" s="2" t="s">
        <v>116</v>
      </c>
    </row>
    <row r="138" customFormat="false" ht="23" hidden="false" customHeight="true" outlineLevel="0" collapsed="false">
      <c r="A138" s="2"/>
      <c r="B138" s="2" t="s">
        <v>117</v>
      </c>
      <c r="C138" s="11" t="n">
        <f aca="false">C127*D128-C128*D127</f>
        <v>1</v>
      </c>
      <c r="D138" s="11" t="n">
        <f aca="false">(D127*E128-D128*E127)/IF(OR(C138=0,ABS(C138)&lt;0.00000001),1,C138)</f>
        <v>0</v>
      </c>
      <c r="E138" s="11" t="n">
        <f aca="false">(E127*C128-E128*C127)/IF(OR(C138=0,ABS(C138)&lt;0.00000001),1,C138)</f>
        <v>0</v>
      </c>
      <c r="F138" s="11" t="n">
        <f aca="false">$C$127*D138+$D$127*E138+$E$127</f>
        <v>0</v>
      </c>
      <c r="G138" s="11" t="n">
        <f aca="false">$C$128*D138+$D$128*E138+$E$128</f>
        <v>0</v>
      </c>
      <c r="H138" s="11" t="n">
        <f aca="false">$C$129*D138+$D$129*E138+$E$129</f>
        <v>1</v>
      </c>
      <c r="I138" s="11" t="n">
        <f aca="false">$C$130*D138+$D$130*E138+$E$130</f>
        <v>35.8318589847213</v>
      </c>
      <c r="J138" s="11" t="n">
        <f aca="false">$C$131*D138+$D$131*E138+$E$131</f>
        <v>41.9374686916559</v>
      </c>
      <c r="K138" s="11" t="n">
        <f aca="false">$C$132*D138+$D$132*E138+$E$132</f>
        <v>26.3203842011747</v>
      </c>
      <c r="L138" s="11" t="n">
        <f aca="false">$C$133*D138+$D$133*E138+$E$133</f>
        <v>51.4489434752025</v>
      </c>
      <c r="M138" s="11" t="n">
        <f aca="false">$C$134*D138+$D$134*E138+$E$134</f>
        <v>78.9263829962262</v>
      </c>
      <c r="N138" s="11" t="n">
        <f aca="false">$C$135*D138+$D$135*E138+$E$135</f>
        <v>-1.15705531984904</v>
      </c>
      <c r="O138" s="2" t="n">
        <f aca="false">IF(AND(C138&lt;&gt;0,ABS(C138)&gt;=0.00000001,MIN(F138:N138)&gt;=-0.000000001),1,0)</f>
        <v>0</v>
      </c>
    </row>
    <row r="139" customFormat="false" ht="23" hidden="false" customHeight="true" outlineLevel="0" collapsed="false">
      <c r="A139" s="2"/>
      <c r="B139" s="2" t="s">
        <v>118</v>
      </c>
      <c r="C139" s="11" t="n">
        <f aca="false">C127*D129-C129*D127</f>
        <v>-1</v>
      </c>
      <c r="D139" s="11" t="n">
        <f aca="false">(D127*E129-D129*E127)/IF(OR(C139=0,ABS(C139)&lt;0.00000001),1,C139)</f>
        <v>0</v>
      </c>
      <c r="E139" s="11" t="n">
        <f aca="false">(E127*C129-E129*C127)/IF(OR(C139=0,ABS(C139)&lt;0.00000001),1,C139)</f>
        <v>1</v>
      </c>
      <c r="F139" s="11" t="n">
        <f aca="false">$C$127*D139+$D$127*E139+$E$127</f>
        <v>0</v>
      </c>
      <c r="G139" s="11" t="n">
        <f aca="false">$C$128*D139+$D$128*E139+$E$128</f>
        <v>1</v>
      </c>
      <c r="H139" s="11" t="n">
        <f aca="false">$C$129*D139+$D$129*E139+$E$129</f>
        <v>0</v>
      </c>
      <c r="I139" s="11" t="n">
        <f aca="false">$C$130*D139+$D$130*E139+$E$130</f>
        <v>35.5984687295238</v>
      </c>
      <c r="J139" s="11" t="n">
        <f aca="false">$C$131*D139+$D$131*E139+$E$131</f>
        <v>33.8038010007196</v>
      </c>
      <c r="K139" s="11" t="n">
        <f aca="false">$C$132*D139+$D$132*E139+$E$132</f>
        <v>36.9609750996932</v>
      </c>
      <c r="L139" s="11" t="n">
        <f aca="false">$C$133*D139+$D$133*E139+$E$133</f>
        <v>32.4412946305502</v>
      </c>
      <c r="M139" s="11" t="n">
        <f aca="false">$C$134*D139+$D$134*E139+$E$134</f>
        <v>70.2106976356702</v>
      </c>
      <c r="N139" s="11" t="n">
        <f aca="false">$C$135*D139+$D$135*E139+$E$135</f>
        <v>-0.808427905426797</v>
      </c>
      <c r="O139" s="2" t="n">
        <f aca="false">IF(AND(C139&lt;&gt;0,ABS(C139)&gt;=0.00000001,MIN(F139:N139)&gt;=-0.000000001),1,0)</f>
        <v>0</v>
      </c>
    </row>
    <row r="140" customFormat="false" ht="23" hidden="false" customHeight="true" outlineLevel="0" collapsed="false">
      <c r="A140" s="2"/>
      <c r="B140" s="2" t="s">
        <v>119</v>
      </c>
      <c r="C140" s="11" t="n">
        <f aca="false">C127*D130-C130*D127</f>
        <v>-0.233390255197506</v>
      </c>
      <c r="D140" s="11" t="n">
        <f aca="false">(D127*E130-D130*E127)/IF(OR(C140=0,ABS(C140)&lt;0.00000001),1,C140)</f>
        <v>-0</v>
      </c>
      <c r="E140" s="11" t="n">
        <f aca="false">(E127*C130-E130*C127)/IF(OR(C140=0,ABS(C140)&lt;0.00000001),1,C140)</f>
        <v>153.527656732706</v>
      </c>
      <c r="F140" s="11" t="n">
        <f aca="false">$C$127*D140+$D$127*E140+$E$127</f>
        <v>0</v>
      </c>
      <c r="G140" s="11" t="n">
        <f aca="false">$C$128*D140+$D$128*E140+$E$128</f>
        <v>153.527656732706</v>
      </c>
      <c r="H140" s="11" t="n">
        <f aca="false">$C$129*D140+$D$129*E140+$E$129</f>
        <v>-152.527656732706</v>
      </c>
      <c r="I140" s="11" t="n">
        <f aca="false">$C$130*D140+$D$130*E140+$E$130</f>
        <v>0</v>
      </c>
      <c r="J140" s="11" t="n">
        <f aca="false">$C$131*D140+$D$131*E140+$E$131</f>
        <v>-1206.80547254032</v>
      </c>
      <c r="K140" s="11" t="n">
        <f aca="false">$C$132*D140+$D$132*E140+$E$132</f>
        <v>1659.94537110207</v>
      </c>
      <c r="L140" s="11" t="n">
        <f aca="false">$C$133*D140+$D$133*E140+$E$133</f>
        <v>-2866.75084364238</v>
      </c>
      <c r="M140" s="11" t="n">
        <f aca="false">$C$134*D140+$D$134*E140+$E$134</f>
        <v>-1259.17236722949</v>
      </c>
      <c r="N140" s="11" t="n">
        <f aca="false">$C$135*D140+$D$135*E140+$E$135</f>
        <v>52.3668946891804</v>
      </c>
      <c r="O140" s="2" t="n">
        <f aca="false">IF(AND(C140&lt;&gt;0,ABS(C140)&gt;=0.00000001,MIN(F140:N140)&gt;=-0.000000001),1,0)</f>
        <v>0</v>
      </c>
    </row>
    <row r="141" customFormat="false" ht="23" hidden="false" customHeight="true" outlineLevel="0" collapsed="false">
      <c r="A141" s="2"/>
      <c r="B141" s="2" t="s">
        <v>120</v>
      </c>
      <c r="C141" s="11" t="n">
        <f aca="false">C127*D131-C131*D127</f>
        <v>-8.13366769093632</v>
      </c>
      <c r="D141" s="11" t="n">
        <f aca="false">(D127*E131-D131*E127)/IF(OR(C141=0,ABS(C141)&lt;0.00000001),1,C141)</f>
        <v>-0</v>
      </c>
      <c r="E141" s="11" t="n">
        <f aca="false">(E127*C131-E131*C127)/IF(OR(C141=0,ABS(C141)&lt;0.00000001),1,C141)</f>
        <v>5.15603418841276</v>
      </c>
      <c r="F141" s="11" t="n">
        <f aca="false">$C$127*D141+$D$127*E141+$E$127</f>
        <v>0</v>
      </c>
      <c r="G141" s="11" t="n">
        <f aca="false">$C$128*D141+$D$128*E141+$E$128</f>
        <v>5.15603418841276</v>
      </c>
      <c r="H141" s="11" t="n">
        <f aca="false">$C$129*D141+$D$129*E141+$E$129</f>
        <v>-4.15603418841276</v>
      </c>
      <c r="I141" s="11" t="n">
        <f aca="false">$C$130*D141+$D$130*E141+$E$130</f>
        <v>34.6284908496806</v>
      </c>
      <c r="J141" s="11" t="n">
        <f aca="false">$C$131*D141+$D$131*E141+$E$131</f>
        <v>0</v>
      </c>
      <c r="K141" s="11" t="n">
        <f aca="false">$C$132*D141+$D$132*E141+$E$132</f>
        <v>81.1836346588494</v>
      </c>
      <c r="L141" s="11" t="n">
        <f aca="false">$C$133*D141+$D$133*E141+$E$133</f>
        <v>-46.5551438091689</v>
      </c>
      <c r="M141" s="11" t="n">
        <f aca="false">$C$134*D141+$D$134*E141+$E$134</f>
        <v>33.9880113017506</v>
      </c>
      <c r="N141" s="11" t="n">
        <f aca="false">$C$135*D141+$D$135*E141+$E$135</f>
        <v>0.640479547930003</v>
      </c>
      <c r="O141" s="2" t="n">
        <f aca="false">IF(AND(C141&lt;&gt;0,ABS(C141)&gt;=0.00000001,MIN(F141:N141)&gt;=-0.000000001),1,0)</f>
        <v>0</v>
      </c>
    </row>
    <row r="142" customFormat="false" ht="23" hidden="false" customHeight="true" outlineLevel="0" collapsed="false">
      <c r="A142" s="2"/>
      <c r="B142" s="2" t="s">
        <v>121</v>
      </c>
      <c r="C142" s="11" t="n">
        <f aca="false">C127*D132-C132*D127</f>
        <v>10.6405908985184</v>
      </c>
      <c r="D142" s="11" t="n">
        <f aca="false">(D127*E132-D132*E127)/IF(OR(C142=0,ABS(C142)&lt;0.00000001),1,C142)</f>
        <v>0</v>
      </c>
      <c r="E142" s="11" t="n">
        <f aca="false">(E127*C132-E132*C127)/IF(OR(C142=0,ABS(C142)&lt;0.00000001),1,C142)</f>
        <v>-2.47358294780786</v>
      </c>
      <c r="F142" s="11" t="n">
        <f aca="false">$C$127*D142+$D$127*E142+$E$127</f>
        <v>0</v>
      </c>
      <c r="G142" s="11" t="n">
        <f aca="false">$C$128*D142+$D$128*E142+$E$128</f>
        <v>-2.47358294780786</v>
      </c>
      <c r="H142" s="11" t="n">
        <f aca="false">$C$129*D142+$D$129*E142+$E$129</f>
        <v>3.47358294780786</v>
      </c>
      <c r="I142" s="11" t="n">
        <f aca="false">$C$130*D142+$D$130*E142+$E$130</f>
        <v>36.4091691401624</v>
      </c>
      <c r="J142" s="11" t="n">
        <f aca="false">$C$131*D142+$D$131*E142+$E$131</f>
        <v>62.0567703950917</v>
      </c>
      <c r="K142" s="11" t="n">
        <f aca="false">$C$132*D142+$D$132*E142+$E$132</f>
        <v>0</v>
      </c>
      <c r="L142" s="11" t="n">
        <f aca="false">$C$133*D142+$D$133*E142+$E$133</f>
        <v>98.4659395352541</v>
      </c>
      <c r="M142" s="11" t="n">
        <f aca="false">$C$134*D142+$D$134*E142+$E$134</f>
        <v>100.485353682556</v>
      </c>
      <c r="N142" s="11" t="n">
        <f aca="false">$C$135*D142+$D$135*E142+$E$135</f>
        <v>-2.01941414730226</v>
      </c>
      <c r="O142" s="2" t="n">
        <f aca="false">IF(AND(C142&lt;&gt;0,ABS(C142)&gt;=0.00000001,MIN(F142:N142)&gt;=-0.000000001),1,0)</f>
        <v>0</v>
      </c>
    </row>
    <row r="143" customFormat="false" ht="23" hidden="false" customHeight="true" outlineLevel="0" collapsed="false">
      <c r="A143" s="2"/>
      <c r="B143" s="2" t="s">
        <v>122</v>
      </c>
      <c r="C143" s="11" t="n">
        <f aca="false">C127*D133-C133*D127</f>
        <v>-19.0076488446523</v>
      </c>
      <c r="D143" s="11" t="n">
        <f aca="false">(D127*E133-D133*E127)/IF(OR(C143=0,ABS(C143)&lt;0.00000001),1,C143)</f>
        <v>-0</v>
      </c>
      <c r="E143" s="11" t="n">
        <f aca="false">(E127*C133-E133*C127)/IF(OR(C143=0,ABS(C143)&lt;0.00000001),1,C143)</f>
        <v>2.70674947205148</v>
      </c>
      <c r="F143" s="11" t="n">
        <f aca="false">$C$127*D143+$D$127*E143+$E$127</f>
        <v>0</v>
      </c>
      <c r="G143" s="11" t="n">
        <f aca="false">$C$128*D143+$D$128*E143+$E$128</f>
        <v>2.70674947205148</v>
      </c>
      <c r="H143" s="11" t="n">
        <f aca="false">$C$129*D143+$D$129*E143+$E$129</f>
        <v>-1.70674947205148</v>
      </c>
      <c r="I143" s="11" t="n">
        <f aca="false">$C$130*D143+$D$130*E143+$E$130</f>
        <v>35.2001300346835</v>
      </c>
      <c r="J143" s="11" t="n">
        <f aca="false">$C$131*D143+$D$131*E143+$E$131</f>
        <v>19.9216679633718</v>
      </c>
      <c r="K143" s="11" t="n">
        <f aca="false">$C$132*D143+$D$132*E143+$E$132</f>
        <v>55.1217979980553</v>
      </c>
      <c r="L143" s="11" t="n">
        <f aca="false">$C$133*D143+$D$133*E143+$E$133</f>
        <v>0</v>
      </c>
      <c r="M143" s="11" t="n">
        <f aca="false">$C$134*D143+$D$134*E143+$E$134</f>
        <v>55.3352062479743</v>
      </c>
      <c r="N143" s="11" t="n">
        <f aca="false">$C$135*D143+$D$135*E143+$E$135</f>
        <v>-0.213408249918954</v>
      </c>
      <c r="O143" s="2" t="n">
        <f aca="false">IF(AND(C143&lt;&gt;0,ABS(C143)&gt;=0.00000001,MIN(F143:N143)&gt;=-0.000000001),1,0)</f>
        <v>0</v>
      </c>
    </row>
    <row r="144" customFormat="false" ht="23" hidden="false" customHeight="true" outlineLevel="0" collapsed="false">
      <c r="A144" s="2"/>
      <c r="B144" s="2" t="s">
        <v>123</v>
      </c>
      <c r="C144" s="11" t="n">
        <f aca="false">C127*D134-C134*D127</f>
        <v>-8.71568536055607</v>
      </c>
      <c r="D144" s="11" t="n">
        <f aca="false">(D127*E134-D134*E127)/IF(OR(C144=0,ABS(C144)&lt;0.00000001),1,C144)</f>
        <v>-0</v>
      </c>
      <c r="E144" s="11" t="n">
        <f aca="false">(E127*C134-E134*C127)/IF(OR(C144=0,ABS(C144)&lt;0.00000001),1,C144)</f>
        <v>9.05567143961134</v>
      </c>
      <c r="F144" s="11" t="n">
        <f aca="false">$C$127*D144+$D$127*E144+$E$127</f>
        <v>0</v>
      </c>
      <c r="G144" s="11" t="n">
        <f aca="false">$C$128*D144+$D$128*E144+$E$128</f>
        <v>9.05567143961134</v>
      </c>
      <c r="H144" s="11" t="n">
        <f aca="false">$C$129*D144+$D$129*E144+$E$129</f>
        <v>-8.05567143961134</v>
      </c>
      <c r="I144" s="11" t="n">
        <f aca="false">$C$130*D144+$D$130*E144+$E$130</f>
        <v>33.7183535164456</v>
      </c>
      <c r="J144" s="11" t="n">
        <f aca="false">$C$131*D144+$D$131*E144+$E$131</f>
        <v>-31.7183535164456</v>
      </c>
      <c r="K144" s="11" t="n">
        <f aca="false">$C$132*D144+$D$132*E144+$E$132</f>
        <v>122.678079301477</v>
      </c>
      <c r="L144" s="11" t="n">
        <f aca="false">$C$133*D144+$D$133*E144+$E$133</f>
        <v>-120.678079301477</v>
      </c>
      <c r="M144" s="11" t="n">
        <f aca="false">$C$134*D144+$D$134*E144+$E$134</f>
        <v>0</v>
      </c>
      <c r="N144" s="11" t="n">
        <f aca="false">$C$135*D144+$D$135*E144+$E$135</f>
        <v>2.00000000000004</v>
      </c>
      <c r="O144" s="2" t="n">
        <f aca="false">IF(AND(C144&lt;&gt;0,ABS(C144)&gt;=0.00000001,MIN(F144:N144)&gt;=-0.000000001),1,0)</f>
        <v>0</v>
      </c>
    </row>
    <row r="145" customFormat="false" ht="23" hidden="false" customHeight="true" outlineLevel="0" collapsed="false">
      <c r="A145" s="2"/>
      <c r="B145" s="2" t="s">
        <v>124</v>
      </c>
      <c r="C145" s="11" t="n">
        <f aca="false">C127*D135-C135*D127</f>
        <v>0.348627414422246</v>
      </c>
      <c r="D145" s="11" t="n">
        <f aca="false">(D127*E135-D135*E127)/IF(OR(C145=0,ABS(C145)&lt;0.00000001),1,C145)</f>
        <v>-0</v>
      </c>
      <c r="E145" s="11" t="n">
        <f aca="false">(E127*C135-E135*C127)/IF(OR(C145=0,ABS(C145)&lt;0.00000001),1,C145)</f>
        <v>3.31888793589725</v>
      </c>
      <c r="F145" s="11" t="n">
        <f aca="false">$C$127*D145+$D$127*E145+$E$127</f>
        <v>0</v>
      </c>
      <c r="G145" s="11" t="n">
        <f aca="false">$C$128*D145+$D$128*E145+$E$128</f>
        <v>3.31888793589725</v>
      </c>
      <c r="H145" s="11" t="n">
        <f aca="false">$C$129*D145+$D$129*E145+$E$129</f>
        <v>-2.31888793589725</v>
      </c>
      <c r="I145" s="11" t="n">
        <f aca="false">$C$130*D145+$D$130*E145+$E$130</f>
        <v>35.0572628823903</v>
      </c>
      <c r="J145" s="11" t="n">
        <f aca="false">$C$131*D145+$D$131*E145+$E$131</f>
        <v>14.9427371176102</v>
      </c>
      <c r="K145" s="11" t="n">
        <f aca="false">$C$132*D145+$D$132*E145+$E$132</f>
        <v>61.6353129650856</v>
      </c>
      <c r="L145" s="11" t="n">
        <f aca="false">$C$133*D145+$D$133*E145+$E$133</f>
        <v>-11.6353129650851</v>
      </c>
      <c r="M145" s="11" t="n">
        <f aca="false">$C$134*D145+$D$134*E145+$E$134</f>
        <v>50.0000000000005</v>
      </c>
      <c r="N145" s="11" t="n">
        <f aca="false">$C$135*D145+$D$135*E145+$E$135</f>
        <v>0</v>
      </c>
      <c r="O145" s="2" t="n">
        <f aca="false">IF(AND(C145&lt;&gt;0,ABS(C145)&gt;=0.00000001,MIN(F145:N145)&gt;=-0.000000001),1,0)</f>
        <v>0</v>
      </c>
    </row>
    <row r="146" customFormat="false" ht="23" hidden="false" customHeight="true" outlineLevel="0" collapsed="false">
      <c r="A146" s="2"/>
      <c r="B146" s="2" t="s">
        <v>125</v>
      </c>
      <c r="C146" s="11" t="n">
        <f aca="false">C128*D129-C129*D128</f>
        <v>1</v>
      </c>
      <c r="D146" s="11" t="n">
        <f aca="false">(D128*E129-D129*E128)/IF(OR(C146=0,ABS(C146)&lt;0.00000001),1,C146)</f>
        <v>1</v>
      </c>
      <c r="E146" s="11" t="n">
        <f aca="false">(E128*C129-E129*C128)/IF(OR(C146=0,ABS(C146)&lt;0.00000001),1,C146)</f>
        <v>0</v>
      </c>
      <c r="F146" s="11" t="n">
        <f aca="false">$C$127*D146+$D$127*E146+$E$127</f>
        <v>1</v>
      </c>
      <c r="G146" s="11" t="n">
        <f aca="false">$C$128*D146+$D$128*E146+$E$128</f>
        <v>0</v>
      </c>
      <c r="H146" s="11" t="n">
        <f aca="false">$C$129*D146+$D$129*E146+$E$129</f>
        <v>0</v>
      </c>
      <c r="I146" s="11" t="n">
        <f aca="false">$C$130*D146+$D$130*E146+$E$130</f>
        <v>15.9882057898123</v>
      </c>
      <c r="J146" s="11" t="n">
        <f aca="false">$C$131*D146+$D$131*E146+$E$131</f>
        <v>11.6772638116818</v>
      </c>
      <c r="K146" s="11" t="n">
        <f aca="false">$C$132*D146+$D$132*E146+$E$132</f>
        <v>24.1371742031895</v>
      </c>
      <c r="L146" s="11" t="n">
        <f aca="false">$C$133*D146+$D$133*E146+$E$133</f>
        <v>3.52829539830466</v>
      </c>
      <c r="M146" s="11" t="n">
        <f aca="false">$C$134*D146+$D$134*E146+$E$134</f>
        <v>26.7348641682231</v>
      </c>
      <c r="N146" s="11" t="n">
        <f aca="false">$C$135*D146+$D$135*E146+$E$135</f>
        <v>0.930605433271079</v>
      </c>
      <c r="O146" s="2" t="n">
        <f aca="false">IF(AND(C146&lt;&gt;0,ABS(C146)&gt;=0.00000001,MIN(F146:N146)&gt;=-0.000000001),1,0)</f>
        <v>1</v>
      </c>
    </row>
    <row r="147" customFormat="false" ht="23" hidden="false" customHeight="true" outlineLevel="0" collapsed="false">
      <c r="A147" s="2"/>
      <c r="B147" s="2" t="s">
        <v>126</v>
      </c>
      <c r="C147" s="11" t="n">
        <f aca="false">C128*D130-C130*D128</f>
        <v>19.8436531949089</v>
      </c>
      <c r="D147" s="11" t="n">
        <f aca="false">(D128*E130-D130*E128)/IF(OR(C147=0,ABS(C147)&lt;0.00000001),1,C147)</f>
        <v>1.80570878924221</v>
      </c>
      <c r="E147" s="11" t="n">
        <f aca="false">(E128*C130-E130*C128)/IF(OR(C147=0,ABS(C147)&lt;0.00000001),1,C147)</f>
        <v>-0</v>
      </c>
      <c r="F147" s="11" t="n">
        <f aca="false">$C$127*D147+$D$127*E147+$E$127</f>
        <v>1.80570878924221</v>
      </c>
      <c r="G147" s="11" t="n">
        <f aca="false">$C$128*D147+$D$128*E147+$E$128</f>
        <v>0</v>
      </c>
      <c r="H147" s="11" t="n">
        <f aca="false">$C$129*D147+$D$129*E147+$E$129</f>
        <v>-0.805708789242208</v>
      </c>
      <c r="I147" s="11" t="n">
        <f aca="false">$C$130*D147+$D$130*E147+$E$130</f>
        <v>0</v>
      </c>
      <c r="J147" s="11" t="n">
        <f aca="false">$C$131*D147+$D$131*E147+$E$131</f>
        <v>-12.7036492243832</v>
      </c>
      <c r="K147" s="11" t="n">
        <f aca="false">$C$132*D147+$D$132*E147+$E$132</f>
        <v>22.3781427190514</v>
      </c>
      <c r="L147" s="11" t="n">
        <f aca="false">$C$133*D147+$D$133*E147+$E$133</f>
        <v>-35.0817919434346</v>
      </c>
      <c r="M147" s="11" t="n">
        <f aca="false">$C$134*D147+$D$134*E147+$E$134</f>
        <v>-15.3163012753992</v>
      </c>
      <c r="N147" s="11" t="n">
        <f aca="false">$C$135*D147+$D$135*E147+$E$135</f>
        <v>2.61265205101597</v>
      </c>
      <c r="O147" s="2" t="n">
        <f aca="false">IF(AND(C147&lt;&gt;0,ABS(C147)&gt;=0.00000001,MIN(F147:N147)&gt;=-0.000000001),1,0)</f>
        <v>0</v>
      </c>
    </row>
    <row r="148" customFormat="false" ht="23" hidden="false" customHeight="true" outlineLevel="0" collapsed="false">
      <c r="A148" s="2"/>
      <c r="B148" s="2" t="s">
        <v>127</v>
      </c>
      <c r="C148" s="11" t="n">
        <f aca="false">C128*D131-C131*D128</f>
        <v>30.2602048799741</v>
      </c>
      <c r="D148" s="11" t="n">
        <f aca="false">(D128*E131-D131*E128)/IF(OR(C148=0,ABS(C148)&lt;0.00000001),1,C148)</f>
        <v>1.38589506773002</v>
      </c>
      <c r="E148" s="11" t="n">
        <f aca="false">(E128*C131-E131*C128)/IF(OR(C148=0,ABS(C148)&lt;0.00000001),1,C148)</f>
        <v>-0</v>
      </c>
      <c r="F148" s="11" t="n">
        <f aca="false">$C$127*D148+$D$127*E148+$E$127</f>
        <v>1.38589506773002</v>
      </c>
      <c r="G148" s="11" t="n">
        <f aca="false">$C$128*D148+$D$128*E148+$E$128</f>
        <v>0</v>
      </c>
      <c r="H148" s="11" t="n">
        <f aca="false">$C$129*D148+$D$129*E148+$E$129</f>
        <v>-0.385895067730018</v>
      </c>
      <c r="I148" s="11" t="n">
        <f aca="false">$C$130*D148+$D$130*E148+$E$130</f>
        <v>8.33063789615197</v>
      </c>
      <c r="J148" s="11" t="n">
        <f aca="false">$C$131*D148+$D$131*E148+$E$131</f>
        <v>0</v>
      </c>
      <c r="K148" s="11" t="n">
        <f aca="false">$C$132*D148+$D$132*E148+$E$132</f>
        <v>23.2946842331482</v>
      </c>
      <c r="L148" s="11" t="n">
        <f aca="false">$C$133*D148+$D$133*E148+$E$133</f>
        <v>-14.9640463369962</v>
      </c>
      <c r="M148" s="11" t="n">
        <f aca="false">$C$134*D148+$D$134*E148+$E$134</f>
        <v>6.5944144751583</v>
      </c>
      <c r="N148" s="11" t="n">
        <f aca="false">$C$135*D148+$D$135*E148+$E$135</f>
        <v>1.73622342099367</v>
      </c>
      <c r="O148" s="2" t="n">
        <f aca="false">IF(AND(C148&lt;&gt;0,ABS(C148)&gt;=0.00000001,MIN(F148:N148)&gt;=-0.000000001),1,0)</f>
        <v>0</v>
      </c>
    </row>
    <row r="149" customFormat="false" ht="23" hidden="false" customHeight="true" outlineLevel="0" collapsed="false">
      <c r="A149" s="2"/>
      <c r="B149" s="2" t="s">
        <v>128</v>
      </c>
      <c r="C149" s="11" t="n">
        <f aca="false">C128*D132-C132*D128</f>
        <v>2.18320999798519</v>
      </c>
      <c r="D149" s="11" t="n">
        <f aca="false">(D128*E132-D132*E128)/IF(OR(C149=0,ABS(C149)&lt;0.00000001),1,C149)</f>
        <v>12.0558188289101</v>
      </c>
      <c r="E149" s="11" t="n">
        <f aca="false">(E128*C132-E132*C128)/IF(OR(C149=0,ABS(C149)&lt;0.00000001),1,C149)</f>
        <v>-0</v>
      </c>
      <c r="F149" s="11" t="n">
        <f aca="false">$C$127*D149+$D$127*E149+$E$127</f>
        <v>12.0558188289101</v>
      </c>
      <c r="G149" s="11" t="n">
        <f aca="false">$C$128*D149+$D$128*E149+$E$128</f>
        <v>0</v>
      </c>
      <c r="H149" s="11" t="n">
        <f aca="false">$C$129*D149+$D$129*E149+$E$129</f>
        <v>-11.0558188289101</v>
      </c>
      <c r="I149" s="11" t="n">
        <f aca="false">$C$130*D149+$D$130*E149+$E$130</f>
        <v>-203.399628836825</v>
      </c>
      <c r="J149" s="11" t="n">
        <f aca="false">$C$131*D149+$D$131*E149+$E$131</f>
        <v>-322.874079067015</v>
      </c>
      <c r="K149" s="11" t="n">
        <f aca="false">$C$132*D149+$D$132*E149+$E$132</f>
        <v>0</v>
      </c>
      <c r="L149" s="11" t="n">
        <f aca="false">$C$133*D149+$D$133*E149+$E$133</f>
        <v>-526.273707903839</v>
      </c>
      <c r="M149" s="11" t="n">
        <f aca="false">$C$134*D149+$D$134*E149+$E$134</f>
        <v>-550.285112399833</v>
      </c>
      <c r="N149" s="11" t="n">
        <f aca="false">$C$135*D149+$D$135*E149+$E$135</f>
        <v>24.0114044959933</v>
      </c>
      <c r="O149" s="2" t="n">
        <f aca="false">IF(AND(C149&lt;&gt;0,ABS(C149)&gt;=0.00000001,MIN(F149:N149)&gt;=-0.000000001),1,0)</f>
        <v>0</v>
      </c>
    </row>
    <row r="150" customFormat="false" ht="23" hidden="false" customHeight="true" outlineLevel="0" collapsed="false">
      <c r="A150" s="2"/>
      <c r="B150" s="2" t="s">
        <v>129</v>
      </c>
      <c r="C150" s="11" t="n">
        <f aca="false">C128*D133-C133*D128</f>
        <v>47.9206480768978</v>
      </c>
      <c r="D150" s="11" t="n">
        <f aca="false">(D128*E133-D133*E128)/IF(OR(C150=0,ABS(C150)&lt;0.00000001),1,C150)</f>
        <v>1.07362787315904</v>
      </c>
      <c r="E150" s="11" t="n">
        <f aca="false">(E128*C133-E133*C128)/IF(OR(C150=0,ABS(C150)&lt;0.00000001),1,C150)</f>
        <v>-0</v>
      </c>
      <c r="F150" s="11" t="n">
        <f aca="false">$C$127*D150+$D$127*E150+$E$127</f>
        <v>1.07362787315904</v>
      </c>
      <c r="G150" s="11" t="n">
        <f aca="false">$C$128*D150+$D$128*E150+$E$128</f>
        <v>0</v>
      </c>
      <c r="H150" s="11" t="n">
        <f aca="false">$C$129*D150+$D$129*E150+$E$129</f>
        <v>-0.0736278731590365</v>
      </c>
      <c r="I150" s="11" t="n">
        <f aca="false">$C$130*D150+$D$130*E150+$E$130</f>
        <v>14.5271598093657</v>
      </c>
      <c r="J150" s="11" t="n">
        <f aca="false">$C$131*D150+$D$131*E150+$E$131</f>
        <v>9.44926928501265</v>
      </c>
      <c r="K150" s="11" t="n">
        <f aca="false">$C$132*D150+$D$132*E150+$E$132</f>
        <v>23.9764290943783</v>
      </c>
      <c r="L150" s="11" t="n">
        <f aca="false">$C$133*D150+$D$133*E150+$E$133</f>
        <v>0</v>
      </c>
      <c r="M150" s="11" t="n">
        <f aca="false">$C$134*D150+$D$134*E150+$E$134</f>
        <v>22.8921136399774</v>
      </c>
      <c r="N150" s="11" t="n">
        <f aca="false">$C$135*D150+$D$135*E150+$E$135</f>
        <v>1.08431545440091</v>
      </c>
      <c r="O150" s="2" t="n">
        <f aca="false">IF(AND(C150&lt;&gt;0,ABS(C150)&gt;=0.00000001,MIN(F150:N150)&gt;=-0.000000001),1,0)</f>
        <v>0</v>
      </c>
    </row>
    <row r="151" customFormat="false" ht="23" hidden="false" customHeight="true" outlineLevel="0" collapsed="false">
      <c r="A151" s="2"/>
      <c r="B151" s="2" t="s">
        <v>130</v>
      </c>
      <c r="C151" s="11" t="n">
        <f aca="false">C128*D134-C134*D128</f>
        <v>52.1915188280031</v>
      </c>
      <c r="D151" s="11" t="n">
        <f aca="false">(D128*E134-D134*E128)/IF(OR(C151=0,ABS(C151)&lt;0.00000001),1,C151)</f>
        <v>1.51224537565821</v>
      </c>
      <c r="E151" s="11" t="n">
        <f aca="false">(E128*C134-E134*C128)/IF(OR(C151=0,ABS(C151)&lt;0.00000001),1,C151)</f>
        <v>-0</v>
      </c>
      <c r="F151" s="11" t="n">
        <f aca="false">$C$127*D151+$D$127*E151+$E$127</f>
        <v>1.51224537565821</v>
      </c>
      <c r="G151" s="11" t="n">
        <f aca="false">$C$128*D151+$D$128*E151+$E$128</f>
        <v>0</v>
      </c>
      <c r="H151" s="11" t="n">
        <f aca="false">$C$129*D151+$D$129*E151+$E$129</f>
        <v>-0.512245375658212</v>
      </c>
      <c r="I151" s="11" t="n">
        <f aca="false">$C$130*D151+$D$130*E151+$E$130</f>
        <v>5.82338620455495</v>
      </c>
      <c r="J151" s="11" t="n">
        <f aca="false">$C$131*D151+$D$131*E151+$E$131</f>
        <v>-3.82338620455494</v>
      </c>
      <c r="K151" s="11" t="n">
        <f aca="false">$C$132*D151+$D$132*E151+$E$132</f>
        <v>23.0188349776308</v>
      </c>
      <c r="L151" s="11" t="n">
        <f aca="false">$C$133*D151+$D$133*E151+$E$133</f>
        <v>-21.0188349776308</v>
      </c>
      <c r="M151" s="11" t="n">
        <f aca="false">$C$134*D151+$D$134*E151+$E$134</f>
        <v>0</v>
      </c>
      <c r="N151" s="11" t="n">
        <f aca="false">$C$135*D151+$D$135*E151+$E$135</f>
        <v>2</v>
      </c>
      <c r="O151" s="2" t="n">
        <f aca="false">IF(AND(C151&lt;&gt;0,ABS(C151)&gt;=0.00000001,MIN(F151:N151)&gt;=-0.000000001),1,0)</f>
        <v>0</v>
      </c>
    </row>
    <row r="152" customFormat="false" ht="23" hidden="false" customHeight="true" outlineLevel="0" collapsed="false">
      <c r="A152" s="2"/>
      <c r="B152" s="2" t="s">
        <v>131</v>
      </c>
      <c r="C152" s="11" t="n">
        <f aca="false">C128*D135-C135*D128</f>
        <v>-2.08766075312012</v>
      </c>
      <c r="D152" s="11" t="n">
        <f aca="false">(D128*E135-D135*E128)/IF(OR(C152=0,ABS(C152)&lt;0.00000001),1,C152)</f>
        <v>0.554235317265873</v>
      </c>
      <c r="E152" s="11" t="n">
        <f aca="false">(E128*C135-E135*C128)/IF(OR(C152=0,ABS(C152)&lt;0.00000001),1,C152)</f>
        <v>-0</v>
      </c>
      <c r="F152" s="11" t="n">
        <f aca="false">$C$127*D152+$D$127*E152+$E$127</f>
        <v>0.554235317265873</v>
      </c>
      <c r="G152" s="11" t="n">
        <f aca="false">$C$128*D152+$D$128*E152+$E$128</f>
        <v>0</v>
      </c>
      <c r="H152" s="11" t="n">
        <f aca="false">$C$129*D152+$D$129*E152+$E$129</f>
        <v>0.445764682734127</v>
      </c>
      <c r="I152" s="11" t="n">
        <f aca="false">$C$130*D152+$D$130*E152+$E$130</f>
        <v>24.833805560527</v>
      </c>
      <c r="J152" s="11" t="n">
        <f aca="false">$C$131*D152+$D$131*E152+$E$131</f>
        <v>25.1661944394732</v>
      </c>
      <c r="K152" s="11" t="n">
        <f aca="false">$C$132*D152+$D$132*E152+$E$132</f>
        <v>25.1103721152834</v>
      </c>
      <c r="L152" s="11" t="n">
        <f aca="false">$C$133*D152+$D$133*E152+$E$133</f>
        <v>24.8896278847168</v>
      </c>
      <c r="M152" s="11" t="n">
        <f aca="false">$C$134*D152+$D$134*E152+$E$134</f>
        <v>50.0000000000001</v>
      </c>
      <c r="N152" s="11" t="n">
        <f aca="false">$C$135*D152+$D$135*E152+$E$135</f>
        <v>0</v>
      </c>
      <c r="O152" s="2" t="n">
        <f aca="false">IF(AND(C152&lt;&gt;0,ABS(C152)&gt;=0.00000001,MIN(F152:N152)&gt;=-0.000000001),1,0)</f>
        <v>1</v>
      </c>
    </row>
    <row r="153" customFormat="false" ht="23" hidden="false" customHeight="true" outlineLevel="0" collapsed="false">
      <c r="A153" s="2"/>
      <c r="B153" s="2" t="s">
        <v>132</v>
      </c>
      <c r="C153" s="11" t="n">
        <f aca="false">C129*D130-C130*D129</f>
        <v>-19.6102629397114</v>
      </c>
      <c r="D153" s="11" t="n">
        <f aca="false">(D129*E130-D130*E129)/IF(OR(C153=0,ABS(C153)&lt;0.00000001),1,C153)</f>
        <v>1.81529787943005</v>
      </c>
      <c r="E153" s="11" t="n">
        <f aca="false">(E129*C130-E130*C129)/IF(OR(C153=0,ABS(C153)&lt;0.00000001),1,C153)</f>
        <v>-0.815297879430046</v>
      </c>
      <c r="F153" s="11" t="n">
        <f aca="false">$C$127*D153+$D$127*E153+$E$127</f>
        <v>1.81529787943005</v>
      </c>
      <c r="G153" s="11" t="n">
        <f aca="false">$C$128*D153+$D$128*E153+$E$128</f>
        <v>-0.815297879430046</v>
      </c>
      <c r="H153" s="11" t="n">
        <f aca="false">$C$129*D153+$D$129*E153+$E$129</f>
        <v>0</v>
      </c>
      <c r="I153" s="11" t="n">
        <f aca="false">$C$130*D153+$D$130*E153+$E$130</f>
        <v>0</v>
      </c>
      <c r="J153" s="11" t="n">
        <f aca="false">$C$131*D153+$D$131*E153+$E$131</f>
        <v>-6.36245503767071</v>
      </c>
      <c r="K153" s="11" t="n">
        <f aca="false">$C$132*D153+$D$132*E153+$E$132</f>
        <v>13.681956526037</v>
      </c>
      <c r="L153" s="11" t="n">
        <f aca="false">$C$133*D153+$D$133*E153+$E$133</f>
        <v>-20.0444115637077</v>
      </c>
      <c r="M153" s="11" t="n">
        <f aca="false">$C$134*D153+$D$134*E153+$E$134</f>
        <v>-8.71089066424032</v>
      </c>
      <c r="N153" s="11" t="n">
        <f aca="false">$C$135*D153+$D$135*E153+$E$135</f>
        <v>2.34843562656961</v>
      </c>
      <c r="O153" s="2" t="n">
        <f aca="false">IF(AND(C153&lt;&gt;0,ABS(C153)&gt;=0.00000001,MIN(F153:N153)&gt;=-0.000000001),1,0)</f>
        <v>0</v>
      </c>
    </row>
    <row r="154" customFormat="false" ht="23" hidden="false" customHeight="true" outlineLevel="0" collapsed="false">
      <c r="A154" s="2"/>
      <c r="B154" s="2" t="s">
        <v>133</v>
      </c>
      <c r="C154" s="11" t="n">
        <f aca="false">C129*D131-C131*D129</f>
        <v>-22.1265371890378</v>
      </c>
      <c r="D154" s="11" t="n">
        <f aca="false">(D129*E131-D131*E129)/IF(OR(C154=0,ABS(C154)&lt;0.00000001),1,C154)</f>
        <v>1.52774926830698</v>
      </c>
      <c r="E154" s="11" t="n">
        <f aca="false">(E129*C131-E131*C129)/IF(OR(C154=0,ABS(C154)&lt;0.00000001),1,C154)</f>
        <v>-0.527749268306979</v>
      </c>
      <c r="F154" s="11" t="n">
        <f aca="false">$C$127*D154+$D$127*E154+$E$127</f>
        <v>1.52774926830698</v>
      </c>
      <c r="G154" s="11" t="n">
        <f aca="false">$C$128*D154+$D$128*E154+$E$128</f>
        <v>-0.527749268306979</v>
      </c>
      <c r="H154" s="11" t="n">
        <f aca="false">$C$129*D154+$D$129*E154+$E$129</f>
        <v>0</v>
      </c>
      <c r="I154" s="11" t="n">
        <f aca="false">$C$130*D154+$D$130*E154+$E$130</f>
        <v>5.63890387207218</v>
      </c>
      <c r="J154" s="11" t="n">
        <f aca="false">$C$131*D154+$D$131*E154+$E$131</f>
        <v>0</v>
      </c>
      <c r="K154" s="11" t="n">
        <f aca="false">$C$132*D154+$D$132*E154+$E$132</f>
        <v>17.3694226631454</v>
      </c>
      <c r="L154" s="11" t="n">
        <f aca="false">$C$133*D154+$D$133*E154+$E$133</f>
        <v>-11.7305187910732</v>
      </c>
      <c r="M154" s="11" t="n">
        <f aca="false">$C$134*D154+$D$134*E154+$E$134</f>
        <v>3.79052486674185</v>
      </c>
      <c r="N154" s="11" t="n">
        <f aca="false">$C$135*D154+$D$135*E154+$E$135</f>
        <v>1.84837900533033</v>
      </c>
      <c r="O154" s="2" t="n">
        <f aca="false">IF(AND(C154&lt;&gt;0,ABS(C154)&gt;=0.00000001,MIN(F154:N154)&gt;=-0.000000001),1,0)</f>
        <v>0</v>
      </c>
    </row>
    <row r="155" customFormat="false" ht="23" hidden="false" customHeight="true" outlineLevel="0" collapsed="false">
      <c r="A155" s="2"/>
      <c r="B155" s="2" t="s">
        <v>134</v>
      </c>
      <c r="C155" s="11" t="n">
        <f aca="false">C129*D132-C132*D129</f>
        <v>-12.8238008965036</v>
      </c>
      <c r="D155" s="11" t="n">
        <f aca="false">(D129*E132-D132*E129)/IF(OR(C155=0,ABS(C155)&lt;0.00000001),1,C155)</f>
        <v>2.88221685582864</v>
      </c>
      <c r="E155" s="11" t="n">
        <f aca="false">(E129*C132-E132*C129)/IF(OR(C155=0,ABS(C155)&lt;0.00000001),1,C155)</f>
        <v>-1.88221685582864</v>
      </c>
      <c r="F155" s="11" t="n">
        <f aca="false">$C$127*D155+$D$127*E155+$E$127</f>
        <v>2.88221685582864</v>
      </c>
      <c r="G155" s="11" t="n">
        <f aca="false">$C$128*D155+$D$128*E155+$E$128</f>
        <v>-1.88221685582864</v>
      </c>
      <c r="H155" s="11" t="n">
        <f aca="false">$C$129*D155+$D$129*E155+$E$129</f>
        <v>0</v>
      </c>
      <c r="I155" s="11" t="n">
        <f aca="false">$C$130*D155+$D$130*E155+$E$130</f>
        <v>-20.9225616625441</v>
      </c>
      <c r="J155" s="11" t="n">
        <f aca="false">$C$131*D155+$D$131*E155+$E$131</f>
        <v>-29.9696774466443</v>
      </c>
      <c r="K155" s="11" t="n">
        <f aca="false">$C$132*D155+$D$132*E155+$E$132</f>
        <v>0</v>
      </c>
      <c r="L155" s="11" t="n">
        <f aca="false">$C$133*D155+$D$133*E155+$E$133</f>
        <v>-50.8922391091884</v>
      </c>
      <c r="M155" s="11" t="n">
        <f aca="false">$C$134*D155+$D$134*E155+$E$134</f>
        <v>-55.0960824054046</v>
      </c>
      <c r="N155" s="11" t="n">
        <f aca="false">$C$135*D155+$D$135*E155+$E$135</f>
        <v>4.20384329621617</v>
      </c>
      <c r="O155" s="2" t="n">
        <f aca="false">IF(AND(C155&lt;&gt;0,ABS(C155)&gt;=0.00000001,MIN(F155:N155)&gt;=-0.000000001),1,0)</f>
        <v>0</v>
      </c>
    </row>
    <row r="156" customFormat="false" ht="23" hidden="false" customHeight="true" outlineLevel="0" collapsed="false">
      <c r="A156" s="2"/>
      <c r="B156" s="2" t="s">
        <v>135</v>
      </c>
      <c r="C156" s="11" t="n">
        <f aca="false">C129*D133-C133*D129</f>
        <v>-28.9129992322456</v>
      </c>
      <c r="D156" s="11" t="n">
        <f aca="false">(D129*E133-D133*E129)/IF(OR(C156=0,ABS(C156)&lt;0.00000001),1,C156)</f>
        <v>1.12203145616141</v>
      </c>
      <c r="E156" s="11" t="n">
        <f aca="false">(E129*C133-E133*C129)/IF(OR(C156=0,ABS(C156)&lt;0.00000001),1,C156)</f>
        <v>-0.12203145616141</v>
      </c>
      <c r="F156" s="11" t="n">
        <f aca="false">$C$127*D156+$D$127*E156+$E$127</f>
        <v>1.12203145616141</v>
      </c>
      <c r="G156" s="11" t="n">
        <f aca="false">$C$128*D156+$D$128*E156+$E$128</f>
        <v>-0.12203145616141</v>
      </c>
      <c r="H156" s="11" t="n">
        <f aca="false">$C$129*D156+$D$129*E156+$E$129</f>
        <v>0</v>
      </c>
      <c r="I156" s="11" t="n">
        <f aca="false">$C$130*D156+$D$130*E156+$E$130</f>
        <v>13.5951368475712</v>
      </c>
      <c r="J156" s="11" t="n">
        <f aca="false">$C$131*D156+$D$131*E156+$E$131</f>
        <v>8.97713025869396</v>
      </c>
      <c r="K156" s="11" t="n">
        <f aca="false">$C$132*D156+$D$132*E156+$E$132</f>
        <v>22.5722671062652</v>
      </c>
      <c r="L156" s="11" t="n">
        <f aca="false">$C$133*D156+$D$133*E156+$E$133</f>
        <v>0</v>
      </c>
      <c r="M156" s="11" t="n">
        <f aca="false">$C$134*D156+$D$134*E156+$E$134</f>
        <v>21.4294449023596</v>
      </c>
      <c r="N156" s="11" t="n">
        <f aca="false">$C$135*D156+$D$135*E156+$E$135</f>
        <v>1.14282220390562</v>
      </c>
      <c r="O156" s="2" t="n">
        <f aca="false">IF(AND(C156&lt;&gt;0,ABS(C156)&gt;=0.00000001,MIN(F156:N156)&gt;=-0.000000001),1,0)</f>
        <v>0</v>
      </c>
    </row>
    <row r="157" customFormat="false" ht="23" hidden="false" customHeight="true" outlineLevel="0" collapsed="false">
      <c r="A157" s="2"/>
      <c r="B157" s="2" t="s">
        <v>136</v>
      </c>
      <c r="C157" s="11" t="n">
        <f aca="false">C129*D134-C134*D129</f>
        <v>-43.4758334674471</v>
      </c>
      <c r="D157" s="11" t="n">
        <f aca="false">(D129*E134-D134*E129)/IF(OR(C157=0,ABS(C157)&lt;0.00000001),1,C157)</f>
        <v>1.61493620791056</v>
      </c>
      <c r="E157" s="11" t="n">
        <f aca="false">(E129*C134-E134*C129)/IF(OR(C157=0,ABS(C157)&lt;0.00000001),1,C157)</f>
        <v>-0.614936207910564</v>
      </c>
      <c r="F157" s="11" t="n">
        <f aca="false">$C$127*D157+$D$127*E157+$E$127</f>
        <v>1.61493620791056</v>
      </c>
      <c r="G157" s="11" t="n">
        <f aca="false">$C$128*D157+$D$128*E157+$E$128</f>
        <v>-0.614936207910564</v>
      </c>
      <c r="H157" s="11" t="n">
        <f aca="false">$C$129*D157+$D$129*E157+$E$129</f>
        <v>0</v>
      </c>
      <c r="I157" s="11" t="n">
        <f aca="false">$C$130*D157+$D$130*E157+$E$130</f>
        <v>3.92914506153713</v>
      </c>
      <c r="J157" s="11" t="n">
        <f aca="false">$C$131*D157+$D$131*E157+$E$131</f>
        <v>-1.92914506153713</v>
      </c>
      <c r="K157" s="11" t="n">
        <f aca="false">$C$132*D157+$D$132*E157+$E$132</f>
        <v>16.2513547088935</v>
      </c>
      <c r="L157" s="11" t="n">
        <f aca="false">$C$133*D157+$D$133*E157+$E$133</f>
        <v>-14.2513547088935</v>
      </c>
      <c r="M157" s="11" t="n">
        <f aca="false">$C$134*D157+$D$134*E157+$E$134</f>
        <v>0</v>
      </c>
      <c r="N157" s="11" t="n">
        <f aca="false">$C$135*D157+$D$135*E157+$E$135</f>
        <v>2</v>
      </c>
      <c r="O157" s="2" t="n">
        <f aca="false">IF(AND(C157&lt;&gt;0,ABS(C157)&gt;=0.00000001,MIN(F157:N157)&gt;=-0.000000001),1,0)</f>
        <v>0</v>
      </c>
    </row>
    <row r="158" customFormat="false" ht="23" hidden="false" customHeight="true" outlineLevel="0" collapsed="false">
      <c r="A158" s="2"/>
      <c r="B158" s="2" t="s">
        <v>137</v>
      </c>
      <c r="C158" s="11" t="n">
        <f aca="false">C129*D135-C135*D129</f>
        <v>1.73903333869788</v>
      </c>
      <c r="D158" s="11" t="n">
        <f aca="false">(D129*E135-D135*E129)/IF(OR(C158=0,ABS(C158)&lt;0.00000001),1,C158)</f>
        <v>0.464871999539766</v>
      </c>
      <c r="E158" s="11" t="n">
        <f aca="false">(E129*C135-E135*C129)/IF(OR(C158=0,ABS(C158)&lt;0.00000001),1,C158)</f>
        <v>0.535128000460234</v>
      </c>
      <c r="F158" s="11" t="n">
        <f aca="false">$C$127*D158+$D$127*E158+$E$127</f>
        <v>0.464871999539766</v>
      </c>
      <c r="G158" s="11" t="n">
        <f aca="false">$C$128*D158+$D$128*E158+$E$128</f>
        <v>0.535128000460234</v>
      </c>
      <c r="H158" s="11" t="n">
        <f aca="false">$C$129*D158+$D$129*E158+$E$129</f>
        <v>0</v>
      </c>
      <c r="I158" s="11" t="n">
        <f aca="false">$C$130*D158+$D$130*E158+$E$130</f>
        <v>26.4822065852396</v>
      </c>
      <c r="J158" s="11" t="n">
        <f aca="false">$C$131*D158+$D$131*E158+$E$131</f>
        <v>23.5177934147606</v>
      </c>
      <c r="K158" s="11" t="n">
        <f aca="false">$C$132*D158+$D$132*E158+$E$132</f>
        <v>30.9995491352357</v>
      </c>
      <c r="L158" s="11" t="n">
        <f aca="false">$C$133*D158+$D$133*E158+$E$133</f>
        <v>19.0004508647645</v>
      </c>
      <c r="M158" s="11" t="n">
        <f aca="false">$C$134*D158+$D$134*E158+$E$134</f>
        <v>50.0000000000002</v>
      </c>
      <c r="N158" s="11" t="n">
        <f aca="false">$C$135*D158+$D$135*E158+$E$135</f>
        <v>0</v>
      </c>
      <c r="O158" s="2" t="n">
        <f aca="false">IF(AND(C158&lt;&gt;0,ABS(C158)&gt;=0.00000001,MIN(F158:N158)&gt;=-0.000000001),1,0)</f>
        <v>1</v>
      </c>
    </row>
    <row r="159" customFormat="false" ht="23" hidden="false" customHeight="true" outlineLevel="0" collapsed="false">
      <c r="A159" s="2"/>
      <c r="B159" s="2" t="s">
        <v>138</v>
      </c>
      <c r="C159" s="11" t="n">
        <f aca="false">C130*D131-C131*D130</f>
        <v>154.33924392231</v>
      </c>
      <c r="D159" s="11" t="n">
        <f aca="false">(D130*E131-D131*E130)/IF(OR(C159=0,ABS(C159)&lt;0.00000001),1,C159)</f>
        <v>1.82491912006326</v>
      </c>
      <c r="E159" s="11" t="n">
        <f aca="false">(E130*C131-E131*C130)/IF(OR(C159=0,ABS(C159)&lt;0.00000001),1,C159)</f>
        <v>-1.63332930181599</v>
      </c>
      <c r="F159" s="11" t="n">
        <f aca="false">$C$127*D159+$D$127*E159+$E$127</f>
        <v>1.82491912006326</v>
      </c>
      <c r="G159" s="11" t="n">
        <f aca="false">$C$128*D159+$D$128*E159+$E$128</f>
        <v>-1.63332930181599</v>
      </c>
      <c r="H159" s="11" t="n">
        <f aca="false">$C$129*D159+$D$129*E159+$E$129</f>
        <v>0.808410181752734</v>
      </c>
      <c r="I159" s="11" t="n">
        <f aca="false">$C$130*D159+$D$130*E159+$E$130</f>
        <v>0</v>
      </c>
      <c r="J159" s="11" t="n">
        <f aca="false">$C$131*D159+$D$131*E159+$E$131</f>
        <v>0</v>
      </c>
      <c r="K159" s="11" t="n">
        <f aca="false">$C$132*D159+$D$132*E159+$E$132</f>
        <v>4.95661362955154</v>
      </c>
      <c r="L159" s="11" t="n">
        <f aca="false">$C$133*D159+$D$133*E159+$E$133</f>
        <v>-4.95661362955153</v>
      </c>
      <c r="M159" s="11" t="n">
        <f aca="false">$C$134*D159+$D$134*E159+$E$134</f>
        <v>-2.08333333333333</v>
      </c>
      <c r="N159" s="11" t="n">
        <f aca="false">$C$135*D159+$D$135*E159+$E$135</f>
        <v>2.08333333333333</v>
      </c>
      <c r="O159" s="2" t="n">
        <f aca="false">IF(AND(C159&lt;&gt;0,ABS(C159)&gt;=0.00000001,MIN(F159:N159)&gt;=-0.000000001),1,0)</f>
        <v>0</v>
      </c>
    </row>
    <row r="160" customFormat="false" ht="23" hidden="false" customHeight="true" outlineLevel="0" collapsed="false">
      <c r="A160" s="2"/>
      <c r="B160" s="2" t="s">
        <v>139</v>
      </c>
      <c r="C160" s="11" t="n">
        <f aca="false">C130*D132-C132*D130</f>
        <v>-211.657735517684</v>
      </c>
      <c r="D160" s="11" t="n">
        <f aca="false">(D130*E132-D132*E130)/IF(OR(C160=0,ABS(C160)&lt;0.00000001),1,C160)</f>
        <v>1.83038466715081</v>
      </c>
      <c r="E160" s="11" t="n">
        <f aca="false">(E130*C132-E132*C130)/IF(OR(C160=0,ABS(C160)&lt;0.00000001),1,C160)</f>
        <v>-2.09802917042893</v>
      </c>
      <c r="F160" s="11" t="n">
        <f aca="false">$C$127*D160+$D$127*E160+$E$127</f>
        <v>1.83038466715081</v>
      </c>
      <c r="G160" s="11" t="n">
        <f aca="false">$C$128*D160+$D$128*E160+$E$128</f>
        <v>-2.09802917042893</v>
      </c>
      <c r="H160" s="11" t="n">
        <f aca="false">$C$129*D160+$D$129*E160+$E$129</f>
        <v>1.26764450327812</v>
      </c>
      <c r="I160" s="11" t="n">
        <f aca="false">$C$130*D160+$D$130*E160+$E$130</f>
        <v>0</v>
      </c>
      <c r="J160" s="11" t="n">
        <f aca="false">$C$131*D160+$D$131*E160+$E$131</f>
        <v>3.61432573266895</v>
      </c>
      <c r="K160" s="11" t="n">
        <f aca="false">$C$132*D160+$D$132*E160+$E$132</f>
        <v>0</v>
      </c>
      <c r="L160" s="11" t="n">
        <f aca="false">$C$133*D160+$D$133*E160+$E$133</f>
        <v>3.61432573266895</v>
      </c>
      <c r="M160" s="11" t="n">
        <f aca="false">$C$134*D160+$D$134*E160+$E$134</f>
        <v>1.68158930486348</v>
      </c>
      <c r="N160" s="11" t="n">
        <f aca="false">$C$135*D160+$D$135*E160+$E$135</f>
        <v>1.93273642780545</v>
      </c>
      <c r="O160" s="2" t="n">
        <f aca="false">IF(AND(C160&lt;&gt;0,ABS(C160)&gt;=0.00000001,MIN(F160:N160)&gt;=-0.000000001),1,0)</f>
        <v>0</v>
      </c>
    </row>
    <row r="161" customFormat="false" ht="23" hidden="false" customHeight="true" outlineLevel="0" collapsed="false">
      <c r="A161" s="2"/>
      <c r="B161" s="2" t="s">
        <v>140</v>
      </c>
      <c r="C161" s="11" t="n">
        <f aca="false">C130*D133-C133*D130</f>
        <v>365.996979439994</v>
      </c>
      <c r="D161" s="11" t="n">
        <f aca="false">(D130*E133-D133*E130)/IF(OR(C161=0,ABS(C161)&lt;0.00000001),1,C161)</f>
        <v>1.82807987106641</v>
      </c>
      <c r="E161" s="11" t="n">
        <f aca="false">(E130*C133-E133*C130)/IF(OR(C161=0,ABS(C161)&lt;0.00000001),1,C161)</f>
        <v>-1.90206737183087</v>
      </c>
      <c r="F161" s="11" t="n">
        <f aca="false">$C$127*D161+$D$127*E161+$E$127</f>
        <v>1.82807987106641</v>
      </c>
      <c r="G161" s="11" t="n">
        <f aca="false">$C$128*D161+$D$128*E161+$E$128</f>
        <v>-1.90206737183087</v>
      </c>
      <c r="H161" s="11" t="n">
        <f aca="false">$C$129*D161+$D$129*E161+$E$129</f>
        <v>1.07398750076446</v>
      </c>
      <c r="I161" s="11" t="n">
        <f aca="false">$C$130*D161+$D$130*E161+$E$130</f>
        <v>0</v>
      </c>
      <c r="J161" s="11" t="n">
        <f aca="false">$C$131*D161+$D$131*E161+$E$131</f>
        <v>2.09018118447458</v>
      </c>
      <c r="K161" s="11" t="n">
        <f aca="false">$C$132*D161+$D$132*E161+$E$132</f>
        <v>2.09018118447457</v>
      </c>
      <c r="L161" s="11" t="n">
        <f aca="false">$C$133*D161+$D$133*E161+$E$133</f>
        <v>0</v>
      </c>
      <c r="M161" s="11" t="n">
        <f aca="false">$C$134*D161+$D$134*E161+$E$134</f>
        <v>0.0939387338276845</v>
      </c>
      <c r="N161" s="11" t="n">
        <f aca="false">$C$135*D161+$D$135*E161+$E$135</f>
        <v>1.99624245064689</v>
      </c>
      <c r="O161" s="2" t="n">
        <f aca="false">IF(AND(C161&lt;&gt;0,ABS(C161)&gt;=0.00000001,MIN(F161:N161)&gt;=-0.000000001),1,0)</f>
        <v>0</v>
      </c>
    </row>
    <row r="162" customFormat="false" ht="23" hidden="false" customHeight="true" outlineLevel="0" collapsed="false">
      <c r="A162" s="2"/>
      <c r="B162" s="2" t="s">
        <v>141</v>
      </c>
      <c r="C162" s="11" t="n">
        <f aca="false">C130*D134-C134*D130</f>
        <v>160.770045752406</v>
      </c>
      <c r="D162" s="11" t="n">
        <f aca="false">(D130*E134-D134*E130)/IF(OR(C162=0,ABS(C162)&lt;0.00000001),1,C162)</f>
        <v>1.82794349998461</v>
      </c>
      <c r="E162" s="11" t="n">
        <f aca="false">(E130*C134-E134*C130)/IF(OR(C162=0,ABS(C162)&lt;0.00000001),1,C162)</f>
        <v>-1.8904726270081</v>
      </c>
      <c r="F162" s="11" t="n">
        <f aca="false">$C$127*D162+$D$127*E162+$E$127</f>
        <v>1.82794349998461</v>
      </c>
      <c r="G162" s="11" t="n">
        <f aca="false">$C$128*D162+$D$128*E162+$E$128</f>
        <v>-1.8904726270081</v>
      </c>
      <c r="H162" s="11" t="n">
        <f aca="false">$C$129*D162+$D$129*E162+$E$129</f>
        <v>1.06252912702349</v>
      </c>
      <c r="I162" s="11" t="n">
        <f aca="false">$C$130*D162+$D$130*E162+$E$130</f>
        <v>0</v>
      </c>
      <c r="J162" s="11" t="n">
        <f aca="false">$C$131*D162+$D$131*E162+$E$131</f>
        <v>2</v>
      </c>
      <c r="K162" s="11" t="n">
        <f aca="false">$C$132*D162+$D$132*E162+$E$132</f>
        <v>2.21385384741568</v>
      </c>
      <c r="L162" s="11" t="n">
        <f aca="false">$C$133*D162+$D$133*E162+$E$133</f>
        <v>-0.213853847415685</v>
      </c>
      <c r="M162" s="11" t="n">
        <f aca="false">$C$134*D162+$D$134*E162+$E$134</f>
        <v>0</v>
      </c>
      <c r="N162" s="11" t="n">
        <f aca="false">$C$135*D162+$D$135*E162+$E$135</f>
        <v>1.99999999999999</v>
      </c>
      <c r="O162" s="2" t="n">
        <f aca="false">IF(AND(C162&lt;&gt;0,ABS(C162)&gt;=0.00000001,MIN(F162:N162)&gt;=-0.000000001),1,0)</f>
        <v>0</v>
      </c>
    </row>
    <row r="163" customFormat="false" ht="23" hidden="false" customHeight="true" outlineLevel="0" collapsed="false">
      <c r="A163" s="2"/>
      <c r="B163" s="2" t="s">
        <v>142</v>
      </c>
      <c r="C163" s="11" t="n">
        <f aca="false">C130*D135-C135*D130</f>
        <v>-6.43080183009633</v>
      </c>
      <c r="D163" s="11" t="n">
        <f aca="false">(D130*E135-D135*E130)/IF(OR(C163=0,ABS(C163)&lt;0.00000001),1,C163)</f>
        <v>1.90052861809701</v>
      </c>
      <c r="E163" s="11" t="n">
        <f aca="false">(E130*C135-E135*C130)/IF(OR(C163=0,ABS(C163)&lt;0.00000001),1,C163)</f>
        <v>-8.06191243161848</v>
      </c>
      <c r="F163" s="11" t="n">
        <f aca="false">$C$127*D163+$D$127*E163+$E$127</f>
        <v>1.90052861809701</v>
      </c>
      <c r="G163" s="11" t="n">
        <f aca="false">$C$128*D163+$D$128*E163+$E$128</f>
        <v>-8.06191243161848</v>
      </c>
      <c r="H163" s="11" t="n">
        <f aca="false">$C$129*D163+$D$129*E163+$E$129</f>
        <v>7.16138381352146</v>
      </c>
      <c r="I163" s="11" t="n">
        <f aca="false">$C$130*D163+$D$130*E163+$E$130</f>
        <v>0</v>
      </c>
      <c r="J163" s="11" t="n">
        <f aca="false">$C$131*D163+$D$131*E163+$E$131</f>
        <v>49.9999999999994</v>
      </c>
      <c r="K163" s="11" t="n">
        <f aca="false">$C$132*D163+$D$132*E163+$E$132</f>
        <v>-63.6123809238439</v>
      </c>
      <c r="L163" s="11" t="n">
        <f aca="false">$C$133*D163+$D$133*E163+$E$133</f>
        <v>113.612380923843</v>
      </c>
      <c r="M163" s="11" t="n">
        <f aca="false">$C$134*D163+$D$134*E163+$E$134</f>
        <v>49.9999999999993</v>
      </c>
      <c r="N163" s="11" t="n">
        <f aca="false">$C$135*D163+$D$135*E163+$E$135</f>
        <v>0</v>
      </c>
      <c r="O163" s="2" t="n">
        <f aca="false">IF(AND(C163&lt;&gt;0,ABS(C163)&gt;=0.00000001,MIN(F163:N163)&gt;=-0.000000001),1,0)</f>
        <v>0</v>
      </c>
    </row>
    <row r="164" customFormat="false" ht="23" hidden="false" customHeight="true" outlineLevel="0" collapsed="false">
      <c r="A164" s="2"/>
      <c r="B164" s="2" t="s">
        <v>143</v>
      </c>
      <c r="C164" s="11" t="n">
        <f aca="false">C131*D132-C132*D131</f>
        <v>-339.743965256297</v>
      </c>
      <c r="D164" s="11" t="n">
        <f aca="false">(D131*E132-D132*E131)/IF(OR(C164=0,ABS(C164)&lt;0.00000001),1,C164)</f>
        <v>1.94358332681296</v>
      </c>
      <c r="E164" s="11" t="n">
        <f aca="false">(E131*C132-E132*C131)/IF(OR(C164=0,ABS(C164)&lt;0.00000001),1,C164)</f>
        <v>-2.07480335074561</v>
      </c>
      <c r="F164" s="11" t="n">
        <f aca="false">$C$127*D164+$D$127*E164+$E$127</f>
        <v>1.94358332681296</v>
      </c>
      <c r="G164" s="11" t="n">
        <f aca="false">$C$128*D164+$D$128*E164+$E$128</f>
        <v>-2.07480335074561</v>
      </c>
      <c r="H164" s="11" t="n">
        <f aca="false">$C$129*D164+$D$129*E164+$E$129</f>
        <v>1.13122002393265</v>
      </c>
      <c r="I164" s="11" t="n">
        <f aca="false">$C$130*D164+$D$130*E164+$E$130</f>
        <v>-2.25169562444736</v>
      </c>
      <c r="J164" s="11" t="n">
        <f aca="false">$C$131*D164+$D$131*E164+$E$131</f>
        <v>0</v>
      </c>
      <c r="K164" s="11" t="n">
        <f aca="false">$C$132*D164+$D$132*E164+$E$132</f>
        <v>0</v>
      </c>
      <c r="L164" s="11" t="n">
        <f aca="false">$C$133*D164+$D$133*E164+$E$133</f>
        <v>-2.25169562444736</v>
      </c>
      <c r="M164" s="11" t="n">
        <f aca="false">$C$134*D164+$D$134*E164+$E$134</f>
        <v>-4.42884960879934</v>
      </c>
      <c r="N164" s="11" t="n">
        <f aca="false">$C$135*D164+$D$135*E164+$E$135</f>
        <v>2.17715398435197</v>
      </c>
      <c r="O164" s="2" t="n">
        <f aca="false">IF(AND(C164&lt;&gt;0,ABS(C164)&gt;=0.00000001,MIN(F164:N164)&gt;=-0.000000001),1,0)</f>
        <v>0</v>
      </c>
    </row>
    <row r="165" customFormat="false" ht="23" hidden="false" customHeight="true" outlineLevel="0" collapsed="false">
      <c r="A165" s="2"/>
      <c r="B165" s="2" t="s">
        <v>144</v>
      </c>
      <c r="C165" s="11" t="n">
        <f aca="false">C131*D133-C133*D131</f>
        <v>185.404721333987</v>
      </c>
      <c r="D165" s="11" t="n">
        <f aca="false">(D131*E133-D133*E131)/IF(OR(C165=0,ABS(C165)&lt;0.00000001),1,C165)</f>
        <v>2.04236475923074</v>
      </c>
      <c r="E165" s="11" t="n">
        <f aca="false">(E131*C133-E133*C131)/IF(OR(C165=0,ABS(C165)&lt;0.00000001),1,C165)</f>
        <v>-2.44230624081699</v>
      </c>
      <c r="F165" s="11" t="n">
        <f aca="false">$C$127*D165+$D$127*E165+$E$127</f>
        <v>2.04236475923074</v>
      </c>
      <c r="G165" s="11" t="n">
        <f aca="false">$C$128*D165+$D$128*E165+$E$128</f>
        <v>-2.44230624081699</v>
      </c>
      <c r="H165" s="11" t="n">
        <f aca="false">$C$129*D165+$D$129*E165+$E$129</f>
        <v>1.39994148158625</v>
      </c>
      <c r="I165" s="11" t="n">
        <f aca="false">$C$130*D165+$D$130*E165+$E$130</f>
        <v>-4.12610851814252</v>
      </c>
      <c r="J165" s="11" t="n">
        <f aca="false">$C$131*D165+$D$131*E165+$E$131</f>
        <v>0</v>
      </c>
      <c r="K165" s="11" t="n">
        <f aca="false">$C$132*D165+$D$132*E165+$E$132</f>
        <v>-4.12610851814252</v>
      </c>
      <c r="L165" s="11" t="n">
        <f aca="false">$C$133*D165+$D$133*E165+$E$133</f>
        <v>0</v>
      </c>
      <c r="M165" s="11" t="n">
        <f aca="false">$C$134*D165+$D$134*E165+$E$134</f>
        <v>-6.38136303973178</v>
      </c>
      <c r="N165" s="11" t="n">
        <f aca="false">$C$135*D165+$D$135*E165+$E$135</f>
        <v>2.25525452158926</v>
      </c>
      <c r="O165" s="2" t="n">
        <f aca="false">IF(AND(C165&lt;&gt;0,ABS(C165)&gt;=0.00000001,MIN(F165:N165)&gt;=-0.000000001),1,0)</f>
        <v>0</v>
      </c>
    </row>
    <row r="166" customFormat="false" ht="23" hidden="false" customHeight="true" outlineLevel="0" collapsed="false">
      <c r="A166" s="2"/>
      <c r="B166" s="2" t="s">
        <v>145</v>
      </c>
      <c r="C166" s="11" t="n">
        <f aca="false">C131*D134-C134*D131</f>
        <v>-160.770045752406</v>
      </c>
      <c r="D166" s="11" t="n">
        <f aca="false">(D131*E134-D134*E131)/IF(OR(C166=0,ABS(C166)&lt;0.00000001),1,C166)</f>
        <v>1.71951925565767</v>
      </c>
      <c r="E166" s="11" t="n">
        <f aca="false">(E131*C134-E134*C131)/IF(OR(C166=0,ABS(C166)&lt;0.00000001),1,C166)</f>
        <v>-1.24120343530331</v>
      </c>
      <c r="F166" s="11" t="n">
        <f aca="false">$C$127*D166+$D$127*E166+$E$127</f>
        <v>1.71951925565767</v>
      </c>
      <c r="G166" s="11" t="n">
        <f aca="false">$C$128*D166+$D$128*E166+$E$128</f>
        <v>-1.24120343530331</v>
      </c>
      <c r="H166" s="11" t="n">
        <f aca="false">$C$129*D166+$D$129*E166+$E$129</f>
        <v>0.521684179645637</v>
      </c>
      <c r="I166" s="11" t="n">
        <f aca="false">$C$130*D166+$D$130*E166+$E$130</f>
        <v>2.00000000000002</v>
      </c>
      <c r="J166" s="11" t="n">
        <f aca="false">$C$131*D166+$D$131*E166+$E$131</f>
        <v>0</v>
      </c>
      <c r="K166" s="11" t="n">
        <f aca="false">$C$132*D166+$D$132*E166+$E$132</f>
        <v>9.35917459359667</v>
      </c>
      <c r="L166" s="11" t="n">
        <f aca="false">$C$133*D166+$D$133*E166+$E$133</f>
        <v>-7.35917459359664</v>
      </c>
      <c r="M166" s="11" t="n">
        <f aca="false">$C$134*D166+$D$134*E166+$E$134</f>
        <v>0</v>
      </c>
      <c r="N166" s="11" t="n">
        <f aca="false">$C$135*D166+$D$135*E166+$E$135</f>
        <v>2</v>
      </c>
      <c r="O166" s="2" t="n">
        <f aca="false">IF(AND(C166&lt;&gt;0,ABS(C166)&gt;=0.00000001,MIN(F166:N166)&gt;=-0.000000001),1,0)</f>
        <v>0</v>
      </c>
    </row>
    <row r="167" customFormat="false" ht="23" hidden="false" customHeight="true" outlineLevel="0" collapsed="false">
      <c r="A167" s="2"/>
      <c r="B167" s="2" t="s">
        <v>146</v>
      </c>
      <c r="C167" s="11" t="n">
        <f aca="false">C131*D135-C135*D131</f>
        <v>6.43080183009612</v>
      </c>
      <c r="D167" s="11" t="n">
        <f aca="false">(D131*E135-D135*E131)/IF(OR(C167=0,ABS(C167)&lt;0.00000001),1,C167)</f>
        <v>-0.810077490076521</v>
      </c>
      <c r="E167" s="11" t="n">
        <f aca="false">(E131*C135-E135*C131)/IF(OR(C167=0,ABS(C167)&lt;0.00000001),1,C167)</f>
        <v>8.16981736100127</v>
      </c>
      <c r="F167" s="11" t="n">
        <f aca="false">$C$127*D167+$D$127*E167+$E$127</f>
        <v>-0.810077490076521</v>
      </c>
      <c r="G167" s="11" t="n">
        <f aca="false">$C$128*D167+$D$128*E167+$E$128</f>
        <v>8.16981736100127</v>
      </c>
      <c r="H167" s="11" t="n">
        <f aca="false">$C$129*D167+$D$129*E167+$E$129</f>
        <v>-6.35973987092475</v>
      </c>
      <c r="I167" s="11" t="n">
        <f aca="false">$C$130*D167+$D$130*E167+$E$130</f>
        <v>50.0000000000009</v>
      </c>
      <c r="J167" s="11" t="n">
        <f aca="false">$C$131*D167+$D$131*E167+$E$131</f>
        <v>0</v>
      </c>
      <c r="K167" s="11" t="n">
        <f aca="false">$C$132*D167+$D$132*E167+$E$132</f>
        <v>115.020637730681</v>
      </c>
      <c r="L167" s="11" t="n">
        <f aca="false">$C$133*D167+$D$133*E167+$E$133</f>
        <v>-65.0206377306797</v>
      </c>
      <c r="M167" s="11" t="n">
        <f aca="false">$C$134*D167+$D$134*E167+$E$134</f>
        <v>50.000000000001</v>
      </c>
      <c r="N167" s="11" t="n">
        <f aca="false">$C$135*D167+$D$135*E167+$E$135</f>
        <v>0</v>
      </c>
      <c r="O167" s="2" t="n">
        <f aca="false">IF(AND(C167&lt;&gt;0,ABS(C167)&gt;=0.00000001,MIN(F167:N167)&gt;=-0.000000001),1,0)</f>
        <v>0</v>
      </c>
    </row>
    <row r="168" customFormat="false" ht="23" hidden="false" customHeight="true" outlineLevel="0" collapsed="false">
      <c r="A168" s="2"/>
      <c r="B168" s="2" t="s">
        <v>147</v>
      </c>
      <c r="C168" s="11" t="n">
        <f aca="false">C132*D133-C133*D132</f>
        <v>551.401700773981</v>
      </c>
      <c r="D168" s="11" t="n">
        <f aca="false">(D132*E133-D133*E132)/IF(OR(C168=0,ABS(C168)&lt;0.00000001),1,C168)</f>
        <v>1.90013157116169</v>
      </c>
      <c r="E168" s="11" t="n">
        <f aca="false">(E132*C133-E133*C132)/IF(OR(C168=0,ABS(C168)&lt;0.00000001),1,C168)</f>
        <v>-2.08371867398965</v>
      </c>
      <c r="F168" s="11" t="n">
        <f aca="false">$C$127*D168+$D$127*E168+$E$127</f>
        <v>1.90013157116169</v>
      </c>
      <c r="G168" s="11" t="n">
        <f aca="false">$C$128*D168+$D$128*E168+$E$128</f>
        <v>-2.08371867398965</v>
      </c>
      <c r="H168" s="11" t="n">
        <f aca="false">$C$129*D168+$D$129*E168+$E$129</f>
        <v>1.18358710282796</v>
      </c>
      <c r="I168" s="11" t="n">
        <f aca="false">$C$130*D168+$D$130*E168+$E$130</f>
        <v>-1.38737330502645</v>
      </c>
      <c r="J168" s="11" t="n">
        <f aca="false">$C$131*D168+$D$131*E168+$E$131</f>
        <v>1.38737330502645</v>
      </c>
      <c r="K168" s="11" t="n">
        <f aca="false">$C$132*D168+$D$132*E168+$E$132</f>
        <v>0</v>
      </c>
      <c r="L168" s="11" t="n">
        <f aca="false">$C$133*D168+$D$133*E168+$E$133</f>
        <v>0</v>
      </c>
      <c r="M168" s="11" t="n">
        <f aca="false">$C$134*D168+$D$134*E168+$E$134</f>
        <v>-2.08333333333334</v>
      </c>
      <c r="N168" s="11" t="n">
        <f aca="false">$C$135*D168+$D$135*E168+$E$135</f>
        <v>2.08333333333333</v>
      </c>
      <c r="O168" s="2" t="n">
        <f aca="false">IF(AND(C168&lt;&gt;0,ABS(C168)&gt;=0.00000001,MIN(F168:N168)&gt;=-0.000000001),1,0)</f>
        <v>0</v>
      </c>
    </row>
    <row r="169" customFormat="false" ht="23" hidden="false" customHeight="true" outlineLevel="0" collapsed="false">
      <c r="A169" s="2"/>
      <c r="B169" s="2" t="s">
        <v>148</v>
      </c>
      <c r="C169" s="11" t="n">
        <f aca="false">C132*D134-C134*D132</f>
        <v>574.376771639563</v>
      </c>
      <c r="D169" s="11" t="n">
        <f aca="false">(D132*E134-D134*E132)/IF(OR(C169=0,ABS(C169)&lt;0.00000001),1,C169)</f>
        <v>1.86153687374388</v>
      </c>
      <c r="E169" s="11" t="n">
        <f aca="false">(E132*C134-E134*C132)/IF(OR(C169=0,ABS(C169)&lt;0.00000001),1,C169)</f>
        <v>-2.09163743809546</v>
      </c>
      <c r="F169" s="11" t="n">
        <f aca="false">$C$127*D169+$D$127*E169+$E$127</f>
        <v>1.86153687374388</v>
      </c>
      <c r="G169" s="11" t="n">
        <f aca="false">$C$128*D169+$D$128*E169+$E$128</f>
        <v>-2.09163743809546</v>
      </c>
      <c r="H169" s="11" t="n">
        <f aca="false">$C$129*D169+$D$129*E169+$E$129</f>
        <v>1.23010056435158</v>
      </c>
      <c r="I169" s="11" t="n">
        <f aca="false">$C$130*D169+$D$130*E169+$E$130</f>
        <v>-0.619665351929498</v>
      </c>
      <c r="J169" s="11" t="n">
        <f aca="false">$C$131*D169+$D$131*E169+$E$131</f>
        <v>2.61966535192951</v>
      </c>
      <c r="K169" s="11" t="n">
        <f aca="false">$C$132*D169+$D$132*E169+$E$132</f>
        <v>0</v>
      </c>
      <c r="L169" s="11" t="n">
        <f aca="false">$C$133*D169+$D$133*E169+$E$133</f>
        <v>2.00000000000002</v>
      </c>
      <c r="M169" s="11" t="n">
        <f aca="false">$C$134*D169+$D$134*E169+$E$134</f>
        <v>0</v>
      </c>
      <c r="N169" s="11" t="n">
        <f aca="false">$C$135*D169+$D$135*E169+$E$135</f>
        <v>1.99999999999999</v>
      </c>
      <c r="O169" s="2" t="n">
        <f aca="false">IF(AND(C169&lt;&gt;0,ABS(C169)&gt;=0.00000001,MIN(F169:N169)&gt;=-0.000000001),1,0)</f>
        <v>0</v>
      </c>
    </row>
    <row r="170" customFormat="false" ht="23" hidden="false" customHeight="true" outlineLevel="0" collapsed="false">
      <c r="A170" s="2"/>
      <c r="B170" s="2" t="s">
        <v>149</v>
      </c>
      <c r="C170" s="11" t="n">
        <f aca="false">C132*D135-C135*D132</f>
        <v>-22.9750708655825</v>
      </c>
      <c r="D170" s="11" t="n">
        <f aca="false">(D132*E135-D135*E132)/IF(OR(C170=0,ABS(C170)&lt;0.00000001),1,C170)</f>
        <v>0.935264135716474</v>
      </c>
      <c r="E170" s="11" t="n">
        <f aca="false">(E132*C135-E135*C132)/IF(OR(C170=0,ABS(C170)&lt;0.00000001),1,C170)</f>
        <v>-2.28168777663485</v>
      </c>
      <c r="F170" s="11" t="n">
        <f aca="false">$C$127*D170+$D$127*E170+$E$127</f>
        <v>0.935264135716474</v>
      </c>
      <c r="G170" s="11" t="n">
        <f aca="false">$C$128*D170+$D$128*E170+$E$128</f>
        <v>-2.28168777663485</v>
      </c>
      <c r="H170" s="11" t="n">
        <f aca="false">$C$129*D170+$D$129*E170+$E$129</f>
        <v>2.34642364091837</v>
      </c>
      <c r="I170" s="11" t="n">
        <f aca="false">$C$130*D170+$D$130*E170+$E$130</f>
        <v>17.8053255223972</v>
      </c>
      <c r="J170" s="11" t="n">
        <f aca="false">$C$131*D170+$D$131*E170+$E$131</f>
        <v>32.1946744776027</v>
      </c>
      <c r="K170" s="11" t="n">
        <f aca="false">$C$132*D170+$D$132*E170+$E$132</f>
        <v>0</v>
      </c>
      <c r="L170" s="11" t="n">
        <f aca="false">$C$133*D170+$D$133*E170+$E$133</f>
        <v>49.9999999999999</v>
      </c>
      <c r="M170" s="11" t="n">
        <f aca="false">$C$134*D170+$D$134*E170+$E$134</f>
        <v>49.9999999999999</v>
      </c>
      <c r="N170" s="11" t="n">
        <f aca="false">$C$135*D170+$D$135*E170+$E$135</f>
        <v>0</v>
      </c>
      <c r="O170" s="2" t="n">
        <f aca="false">IF(AND(C170&lt;&gt;0,ABS(C170)&gt;=0.00000001,MIN(F170:N170)&gt;=-0.000000001),1,0)</f>
        <v>0</v>
      </c>
    </row>
    <row r="171" customFormat="false" ht="23" hidden="false" customHeight="true" outlineLevel="0" collapsed="false">
      <c r="A171" s="2"/>
      <c r="B171" s="2" t="s">
        <v>150</v>
      </c>
      <c r="C171" s="11" t="n">
        <f aca="false">C133*D134-C134*D133</f>
        <v>-574.376771639563</v>
      </c>
      <c r="D171" s="11" t="n">
        <f aca="false">(D133*E134-D134*E133)/IF(OR(C171=0,ABS(C171)&lt;0.00000001),1,C171)</f>
        <v>1.83118855260381</v>
      </c>
      <c r="E171" s="11" t="n">
        <f aca="false">(E133*C134-E134*C133)/IF(OR(C171=0,ABS(C171)&lt;0.00000001),1,C171)</f>
        <v>-1.90990474483552</v>
      </c>
      <c r="F171" s="11" t="n">
        <f aca="false">$C$127*D171+$D$127*E171+$E$127</f>
        <v>1.83118855260381</v>
      </c>
      <c r="G171" s="11" t="n">
        <f aca="false">$C$128*D171+$D$128*E171+$E$128</f>
        <v>-1.90990474483552</v>
      </c>
      <c r="H171" s="11" t="n">
        <f aca="false">$C$129*D171+$D$129*E171+$E$129</f>
        <v>1.07871619223171</v>
      </c>
      <c r="I171" s="11" t="n">
        <f aca="false">$C$130*D171+$D$130*E171+$E$130</f>
        <v>-0.0598584318359556</v>
      </c>
      <c r="J171" s="11" t="n">
        <f aca="false">$C$131*D171+$D$131*E171+$E$131</f>
        <v>2.05985843183597</v>
      </c>
      <c r="K171" s="11" t="n">
        <f aca="false">$C$132*D171+$D$132*E171+$E$132</f>
        <v>2</v>
      </c>
      <c r="L171" s="11" t="n">
        <f aca="false">$C$133*D171+$D$133*E171+$E$133</f>
        <v>0</v>
      </c>
      <c r="M171" s="11" t="n">
        <f aca="false">$C$134*D171+$D$134*E171+$E$134</f>
        <v>0</v>
      </c>
      <c r="N171" s="11" t="n">
        <f aca="false">$C$135*D171+$D$135*E171+$E$135</f>
        <v>1.99999999999999</v>
      </c>
      <c r="O171" s="2" t="n">
        <f aca="false">IF(AND(C171&lt;&gt;0,ABS(C171)&gt;=0.00000001,MIN(F171:N171)&gt;=-0.000000001),1,0)</f>
        <v>0</v>
      </c>
    </row>
    <row r="172" customFormat="false" ht="23" hidden="false" customHeight="true" outlineLevel="0" collapsed="false">
      <c r="A172" s="2"/>
      <c r="B172" s="2" t="s">
        <v>151</v>
      </c>
      <c r="C172" s="11" t="n">
        <f aca="false">C133*D135-C135*D133</f>
        <v>22.9750708655823</v>
      </c>
      <c r="D172" s="11" t="n">
        <f aca="false">(D133*E135-D135*E133)/IF(OR(C172=0,ABS(C172)&lt;0.00000001),1,C172)</f>
        <v>0.176556107214796</v>
      </c>
      <c r="E172" s="11" t="n">
        <f aca="false">(E133*C135-E135*C133)/IF(OR(C172=0,ABS(C172)&lt;0.00000001),1,C172)</f>
        <v>2.26162955486364</v>
      </c>
      <c r="F172" s="11" t="n">
        <f aca="false">$C$127*D172+$D$127*E172+$E$127</f>
        <v>0.176556107214796</v>
      </c>
      <c r="G172" s="11" t="n">
        <f aca="false">$C$128*D172+$D$128*E172+$E$128</f>
        <v>2.26162955486364</v>
      </c>
      <c r="H172" s="11" t="n">
        <f aca="false">$C$129*D172+$D$129*E172+$E$129</f>
        <v>-1.43818566207843</v>
      </c>
      <c r="I172" s="11" t="n">
        <f aca="false">$C$130*D172+$D$130*E172+$E$130</f>
        <v>31.8004985247359</v>
      </c>
      <c r="J172" s="11" t="n">
        <f aca="false">$C$131*D172+$D$131*E172+$E$131</f>
        <v>18.1995014752645</v>
      </c>
      <c r="K172" s="11" t="n">
        <f aca="false">$C$132*D172+$D$132*E172+$E$132</f>
        <v>50.0000000000003</v>
      </c>
      <c r="L172" s="11" t="n">
        <f aca="false">$C$133*D172+$D$133*E172+$E$133</f>
        <v>0</v>
      </c>
      <c r="M172" s="11" t="n">
        <f aca="false">$C$134*D172+$D$134*E172+$E$134</f>
        <v>50.0000000000004</v>
      </c>
      <c r="N172" s="11" t="n">
        <f aca="false">$C$135*D172+$D$135*E172+$E$135</f>
        <v>0</v>
      </c>
      <c r="O172" s="2" t="n">
        <f aca="false">IF(AND(C172&lt;&gt;0,ABS(C172)&gt;=0.00000001,MIN(F172:N172)&gt;=-0.000000001),1,0)</f>
        <v>0</v>
      </c>
    </row>
    <row r="173" customFormat="false" ht="23" hidden="false" customHeight="true" outlineLevel="0" collapsed="false">
      <c r="A173" s="2"/>
      <c r="B173" s="2" t="s">
        <v>152</v>
      </c>
      <c r="C173" s="11" t="n">
        <f aca="false">C134*D135-C135*D134</f>
        <v>-2.23820961764432E-013</v>
      </c>
      <c r="D173" s="11" t="n">
        <f aca="false">(D134*E135-D135*E134)/IF(OR(C173=0,ABS(C173)&lt;0.00000001),1,C173)</f>
        <v>-17.4313707211125</v>
      </c>
      <c r="E173" s="11" t="n">
        <f aca="false">(E134*C135-E135*C134)/IF(OR(C173=0,ABS(C173)&lt;0.00000001),1,C173)</f>
        <v>104.383037656006</v>
      </c>
      <c r="F173" s="11" t="n">
        <f aca="false">$C$127*D173+$D$127*E173+$E$127</f>
        <v>-17.4313707211125</v>
      </c>
      <c r="G173" s="11" t="n">
        <f aca="false">$C$128*D173+$D$128*E173+$E$128</f>
        <v>104.383037656006</v>
      </c>
      <c r="H173" s="11" t="n">
        <f aca="false">$C$129*D173+$D$129*E173+$E$129</f>
        <v>-85.9516669348939</v>
      </c>
      <c r="I173" s="11" t="n">
        <f aca="false">$C$130*D173+$D$130*E173+$E$130</f>
        <v>357.371950489541</v>
      </c>
      <c r="J173" s="11" t="n">
        <f aca="false">$C$131*D173+$D$131*E173+$E$131</f>
        <v>-279.602622813147</v>
      </c>
      <c r="K173" s="11" t="n">
        <f aca="false">$C$132*D173+$D$132*E173+$E$132</f>
        <v>1175.0739274803</v>
      </c>
      <c r="L173" s="11" t="n">
        <f aca="false">$C$133*D173+$D$133*E173+$E$133</f>
        <v>-1097.30459980391</v>
      </c>
      <c r="M173" s="11" t="n">
        <f aca="false">$C$134*D173+$D$134*E173+$E$134</f>
        <v>78.9263829962438</v>
      </c>
      <c r="N173" s="11" t="n">
        <f aca="false">$C$135*D173+$D$135*E173+$E$135</f>
        <v>-1.1570553198493</v>
      </c>
      <c r="O173" s="2" t="n">
        <f aca="false">IF(AND(C173&lt;&gt;0,ABS(C173)&gt;=0.00000001,MIN(F173:N173)&gt;=-0.000000001),1,0)</f>
        <v>0</v>
      </c>
    </row>
    <row r="174" customFormat="false" ht="23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23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95AA"/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"/>
    <col collapsed="false" customWidth="true" hidden="false" outlineLevel="0" max="3" min="3" style="1" width="17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31"/>
    <col collapsed="false" customWidth="true" hidden="false" outlineLevel="0" max="9" min="9" style="1" width="3"/>
    <col collapsed="false" customWidth="true" hidden="false" outlineLevel="0" max="1024" min="10" style="1" width="8.68"/>
  </cols>
  <sheetData>
    <row r="1" customFormat="false" ht="24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32" hidden="false" customHeight="true" outlineLevel="0" collapsed="false">
      <c r="A2" s="2"/>
      <c r="B2" s="3" t="s">
        <v>153</v>
      </c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A4" s="2"/>
      <c r="B4" s="12" t="str">
        <f aca="false">HYPERLINK("#'Calculadora'!G33","Voltar à calculadora")</f>
        <v>Voltar à calculadora</v>
      </c>
      <c r="C4" s="2"/>
      <c r="D4" s="2"/>
      <c r="E4" s="2"/>
      <c r="F4" s="2"/>
      <c r="G4" s="2"/>
      <c r="H4" s="2"/>
      <c r="I4" s="2"/>
    </row>
    <row r="5" customFormat="false" ht="24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24" hidden="false" customHeight="true" outlineLevel="0" collapsed="false">
      <c r="A6" s="2"/>
      <c r="B6" s="10" t="str">
        <f aca="false">Calculadora!G34</f>
        <v>Parcialmente no volume</v>
      </c>
      <c r="C6" s="10"/>
      <c r="D6" s="10"/>
      <c r="E6" s="10"/>
      <c r="F6" s="10"/>
      <c r="G6" s="10"/>
      <c r="H6" s="10"/>
      <c r="I6" s="2"/>
    </row>
    <row r="7" customFormat="false" ht="24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24" hidden="false" customHeight="true" outlineLevel="0" collapsed="false">
      <c r="A8" s="2"/>
      <c r="B8" s="13" t="str">
        <f aca="false">IF(Matrizes!$C$107&lt;&gt;"OK","Preencha os dados válidos para ver a explicação. "&amp;Matrizes!C107,IF(B6="Dentro do volume","O triângulo inteiro está dentro dos seis limites da câmera. Ele cabe no enquadramento e fica entre o Near e o Far.",IF(B6="Parcialmente no volume","Uma parte do triângulo está dentro e será mantida; a parte que ultrapassa os limites será cortada. Há vértices fora nestas direções: "&amp;IF(G15&gt;0,"esquerda; ","")&amp;IF(G16&gt;0,"direita; ","")&amp;IF(G17&gt;0,"abaixo; ","")&amp;IF(G18&gt;0,"acima; ","")&amp;IF(G19&gt;0,"antes do Near; ","")&amp;IF(G20&gt;0,"além do Far; ","")&amp;"Veja quais vértices na tabela.",IF(MAX(Matrizes!G104:I104)&lt;=0,"O triângulo inteiro está atrás da câmera ou no plano do olho. A câmera olha para o outro lado; por isso, ele não aparece.",IF(G20=3,"O triângulo inteiro ultrapassou o Far = "&amp;Calculadora!E39&amp;". O Z normalizado deveria ser no máximo 1, mas ficou A = "&amp;ROUND(D20,6)&amp;", B = "&amp;ROUND(E20,6)&amp;" e C = "&amp;ROUND(F20,6)&amp;". Como os três valores são maiores que 1, o triângulo inteiro fica fora do volume.",IF(G19=3,"O triângulo inteiro está antes do Near = "&amp;Calculadora!C39&amp;". As profundidades são "&amp;"A = "&amp;ROUND(Matrizes!G104,3)&amp;", B = "&amp;ROUND(Matrizes!H104,3)&amp;" e C = "&amp;ROUND(Matrizes!I104,3)&amp;". Os três valores ficam abaixo do mínimo; por isso, nenhuma parte do triângulo aparece.",IF(MAX(G15:G20)=3,"O triângulo inteiro está fora do enquadramento: os três vértices ficam "&amp;IF(G15=3,"esquerda; ","")&amp;IF(G16=3,"direita; ","")&amp;IF(G17=3,"abaixo; ","")&amp;IF(G18=3,"acima; ","")&amp;IF(G19=3,"antes do Near; ","")&amp;IF(G20=3,"além do Far; ","")&amp;"Nenhuma parte permanece dentro da área vista pela câmera.","O triângulo passa por fora do volume da câmera. Mesmo testando suas arestas e seu interior, nenhuma parte fica dentro dos seis limites ao mesmo tempo.")))))))</f>
        <v>Uma parte do triângulo está dentro e será mantida; a parte que ultrapassa os limites será cortada. Há vértices fora nestas direções: além do Far; Veja quais vértices na tabela.</v>
      </c>
      <c r="C8" s="13"/>
      <c r="D8" s="13"/>
      <c r="E8" s="13"/>
      <c r="F8" s="13"/>
      <c r="G8" s="13"/>
      <c r="H8" s="13"/>
      <c r="I8" s="2"/>
    </row>
    <row r="9" customFormat="false" ht="24" hidden="false" customHeight="true" outlineLevel="0" collapsed="false">
      <c r="A9" s="2"/>
      <c r="B9" s="13"/>
      <c r="C9" s="13"/>
      <c r="D9" s="13"/>
      <c r="E9" s="13"/>
      <c r="F9" s="13"/>
      <c r="G9" s="13"/>
      <c r="H9" s="13"/>
      <c r="I9" s="2"/>
    </row>
    <row r="10" customFormat="false" ht="24" hidden="false" customHeight="true" outlineLevel="0" collapsed="false">
      <c r="A10" s="2"/>
      <c r="B10" s="13"/>
      <c r="C10" s="13"/>
      <c r="D10" s="13"/>
      <c r="E10" s="13"/>
      <c r="F10" s="13"/>
      <c r="G10" s="13"/>
      <c r="H10" s="13"/>
      <c r="I10" s="2"/>
    </row>
    <row r="11" customFormat="false" ht="24" hidden="false" customHeight="true" outlineLevel="0" collapsed="false">
      <c r="A11" s="2"/>
      <c r="B11" s="13"/>
      <c r="C11" s="13"/>
      <c r="D11" s="13"/>
      <c r="E11" s="13"/>
      <c r="F11" s="13"/>
      <c r="G11" s="13"/>
      <c r="H11" s="13"/>
      <c r="I11" s="2"/>
    </row>
    <row r="12" customFormat="false" ht="24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24" hidden="false" customHeight="true" outlineLevel="0" collapsed="false">
      <c r="A13" s="2"/>
      <c r="B13" s="14" t="str">
        <f aca="false">IF(Matrizes!$C$107&lt;&gt;"OK","Aguardando dados.",IF(MIN(Matrizes!G104:I104)&gt;0,"Pontos normalizados após dividir por W. Compare cada valor com o limite indicado na linha.","Atenção: há W ≤ 0. A divisão por W não basta para decidir a visibilidade; o teste usa os planos de recorte."))</f>
        <v>Pontos normalizados após dividir por W. Compare cada valor com o limite indicado na linha.</v>
      </c>
      <c r="C13" s="14"/>
      <c r="D13" s="14"/>
      <c r="E13" s="14"/>
      <c r="F13" s="14"/>
      <c r="G13" s="14"/>
      <c r="H13" s="14"/>
      <c r="I13" s="2"/>
    </row>
    <row r="14" customFormat="false" ht="30" hidden="false" customHeight="true" outlineLevel="0" collapsed="false">
      <c r="A14" s="2"/>
      <c r="B14" s="5" t="s">
        <v>90</v>
      </c>
      <c r="C14" s="5" t="s">
        <v>82</v>
      </c>
      <c r="D14" s="5" t="s">
        <v>9</v>
      </c>
      <c r="E14" s="5" t="s">
        <v>10</v>
      </c>
      <c r="F14" s="5" t="s">
        <v>11</v>
      </c>
      <c r="G14" s="5" t="s">
        <v>154</v>
      </c>
      <c r="H14" s="5" t="s">
        <v>155</v>
      </c>
      <c r="I14" s="2"/>
    </row>
    <row r="15" customFormat="false" ht="24" hidden="false" customHeight="true" outlineLevel="0" collapsed="false">
      <c r="A15" s="2"/>
      <c r="B15" s="2" t="s">
        <v>156</v>
      </c>
      <c r="C15" s="2" t="s">
        <v>157</v>
      </c>
      <c r="D15" s="15" t="n">
        <f aca="false">IF(Matrizes!$C$107&lt;&gt;"OK","—",Calculadora!G27)</f>
        <v>-0.0785092258009743</v>
      </c>
      <c r="E15" s="15" t="n">
        <f aca="false">IF(Matrizes!$C$107&lt;&gt;"OK","—",Calculadora!H27)</f>
        <v>0.155823922030865</v>
      </c>
      <c r="F15" s="15" t="n">
        <f aca="false">IF(Matrizes!$C$107&lt;&gt;"OK","—",Calculadora!I27)</f>
        <v>0.025858919827547</v>
      </c>
      <c r="G15" s="16" t="n">
        <f aca="false">IF(Matrizes!$C$107&lt;&gt;"OK","—",IF(Matrizes!C116&lt;-0.000000001,1,0)+IF(Matrizes!D116&lt;-0.000000001,1,0)+IF(Matrizes!E116&lt;-0.000000001,1,0))</f>
        <v>0</v>
      </c>
      <c r="H15" s="2" t="str">
        <f aca="false">IF(Matrizes!$C$107&lt;&gt;"OK","Aguardando dados",IF(G15=3,"Elimina o triângulo inteiro",IF(G15&gt;0,"Exige recorte","Não corta o triângulo")))</f>
        <v>Não corta o triângulo</v>
      </c>
      <c r="I15" s="2"/>
    </row>
    <row r="16" customFormat="false" ht="24" hidden="false" customHeight="true" outlineLevel="0" collapsed="false">
      <c r="A16" s="2"/>
      <c r="B16" s="2" t="s">
        <v>158</v>
      </c>
      <c r="C16" s="2" t="s">
        <v>159</v>
      </c>
      <c r="D16" s="15" t="n">
        <f aca="false">IF(Matrizes!$C$107&lt;&gt;"OK","—",Calculadora!G27)</f>
        <v>-0.0785092258009743</v>
      </c>
      <c r="E16" s="15" t="n">
        <f aca="false">IF(Matrizes!$C$107&lt;&gt;"OK","—",Calculadora!H27)</f>
        <v>0.155823922030865</v>
      </c>
      <c r="F16" s="15" t="n">
        <f aca="false">IF(Matrizes!$C$107&lt;&gt;"OK","—",Calculadora!I27)</f>
        <v>0.025858919827547</v>
      </c>
      <c r="G16" s="16" t="n">
        <f aca="false">IF(Matrizes!$C$107&lt;&gt;"OK","—",IF(Matrizes!C117&lt;-0.000000001,1,0)+IF(Matrizes!D117&lt;-0.000000001,1,0)+IF(Matrizes!E117&lt;-0.000000001,1,0))</f>
        <v>0</v>
      </c>
      <c r="H16" s="2" t="str">
        <f aca="false">IF(Matrizes!$C$107&lt;&gt;"OK","Aguardando dados",IF(G16=3,"Elimina o triângulo inteiro",IF(G16&gt;0,"Exige recorte","Não corta o triângulo")))</f>
        <v>Não corta o triângulo</v>
      </c>
      <c r="I16" s="2"/>
    </row>
    <row r="17" customFormat="false" ht="24" hidden="false" customHeight="true" outlineLevel="0" collapsed="false">
      <c r="A17" s="2"/>
      <c r="B17" s="2" t="s">
        <v>160</v>
      </c>
      <c r="C17" s="2" t="s">
        <v>161</v>
      </c>
      <c r="D17" s="15" t="n">
        <f aca="false">IF(Matrizes!$C$107&lt;&gt;"OK","—",Calculadora!G28)</f>
        <v>-0.323116581110173</v>
      </c>
      <c r="E17" s="15" t="n">
        <f aca="false">IF(Matrizes!$C$107&lt;&gt;"OK","—",Calculadora!H28)</f>
        <v>0.744931465171002</v>
      </c>
      <c r="F17" s="15" t="n">
        <f aca="false">IF(Matrizes!$C$107&lt;&gt;"OK","—",Calculadora!I28)</f>
        <v>0.065122948957005</v>
      </c>
      <c r="G17" s="16" t="n">
        <f aca="false">IF(Matrizes!$C$107&lt;&gt;"OK","—",IF(Matrizes!C118&lt;-0.000000001,1,0)+IF(Matrizes!D118&lt;-0.000000001,1,0)+IF(Matrizes!E118&lt;-0.000000001,1,0))</f>
        <v>0</v>
      </c>
      <c r="H17" s="2" t="str">
        <f aca="false">IF(Matrizes!$C$107&lt;&gt;"OK","Aguardando dados",IF(G17=3,"Elimina o triângulo inteiro",IF(G17&gt;0,"Exige recorte","Não corta o triângulo")))</f>
        <v>Não corta o triângulo</v>
      </c>
      <c r="I17" s="2"/>
    </row>
    <row r="18" customFormat="false" ht="24" hidden="false" customHeight="true" outlineLevel="0" collapsed="false">
      <c r="A18" s="2"/>
      <c r="B18" s="2" t="s">
        <v>162</v>
      </c>
      <c r="C18" s="2" t="s">
        <v>163</v>
      </c>
      <c r="D18" s="15" t="n">
        <f aca="false">IF(Matrizes!$C$107&lt;&gt;"OK","—",Calculadora!G28)</f>
        <v>-0.323116581110173</v>
      </c>
      <c r="E18" s="15" t="n">
        <f aca="false">IF(Matrizes!$C$107&lt;&gt;"OK","—",Calculadora!H28)</f>
        <v>0.744931465171002</v>
      </c>
      <c r="F18" s="15" t="n">
        <f aca="false">IF(Matrizes!$C$107&lt;&gt;"OK","—",Calculadora!I28)</f>
        <v>0.065122948957005</v>
      </c>
      <c r="G18" s="16" t="n">
        <f aca="false">IF(Matrizes!$C$107&lt;&gt;"OK","—",IF(Matrizes!C119&lt;-0.000000001,1,0)+IF(Matrizes!D119&lt;-0.000000001,1,0)+IF(Matrizes!E119&lt;-0.000000001,1,0))</f>
        <v>0</v>
      </c>
      <c r="H18" s="2" t="str">
        <f aca="false">IF(Matrizes!$C$107&lt;&gt;"OK","Aguardando dados",IF(G18=3,"Elimina o triângulo inteiro",IF(G18&gt;0,"Exige recorte","Não corta o triângulo")))</f>
        <v>Não corta o triângulo</v>
      </c>
      <c r="I18" s="2"/>
    </row>
    <row r="19" customFormat="false" ht="24" hidden="false" customHeight="true" outlineLevel="0" collapsed="false">
      <c r="A19" s="2"/>
      <c r="B19" s="2" t="s">
        <v>43</v>
      </c>
      <c r="C19" s="2" t="s">
        <v>164</v>
      </c>
      <c r="D19" s="15" t="n">
        <f aca="false">IF(Matrizes!$C$107&lt;&gt;"OK","—",Calculadora!G29)</f>
        <v>1.0297560839066</v>
      </c>
      <c r="E19" s="15" t="n">
        <f aca="false">IF(Matrizes!$C$107&lt;&gt;"OK","—",Calculadora!H29)</f>
        <v>0.932724407235739</v>
      </c>
      <c r="F19" s="15" t="n">
        <f aca="false">IF(Matrizes!$C$107&lt;&gt;"OK","—",Calculadora!I29)</f>
        <v>1.02329687223686</v>
      </c>
      <c r="G19" s="16" t="n">
        <f aca="false">IF(Matrizes!$C$107&lt;&gt;"OK","—",IF(Matrizes!C120&lt;-0.000000001,1,0)+IF(Matrizes!D120&lt;-0.000000001,1,0)+IF(Matrizes!E120&lt;-0.000000001,1,0))</f>
        <v>0</v>
      </c>
      <c r="H19" s="2" t="str">
        <f aca="false">IF(Matrizes!$C$107&lt;&gt;"OK","Aguardando dados",IF(G19=3,"Elimina o triângulo inteiro",IF(G19&gt;0,"Exige recorte","Não corta o triângulo")))</f>
        <v>Não corta o triângulo</v>
      </c>
      <c r="I19" s="2"/>
    </row>
    <row r="20" customFormat="false" ht="24" hidden="false" customHeight="true" outlineLevel="0" collapsed="false">
      <c r="A20" s="2"/>
      <c r="B20" s="2" t="s">
        <v>44</v>
      </c>
      <c r="C20" s="2" t="s">
        <v>165</v>
      </c>
      <c r="D20" s="15" t="n">
        <f aca="false">IF(Matrizes!$C$107&lt;&gt;"OK","—",Calculadora!G29)</f>
        <v>1.0297560839066</v>
      </c>
      <c r="E20" s="15" t="n">
        <f aca="false">IF(Matrizes!$C$107&lt;&gt;"OK","—",Calculadora!H29)</f>
        <v>0.932724407235739</v>
      </c>
      <c r="F20" s="15" t="n">
        <f aca="false">IF(Matrizes!$C$107&lt;&gt;"OK","—",Calculadora!I29)</f>
        <v>1.02329687223686</v>
      </c>
      <c r="G20" s="16" t="n">
        <f aca="false">IF(Matrizes!$C$107&lt;&gt;"OK","—",IF(Matrizes!C121&lt;-0.000000001,1,0)+IF(Matrizes!D121&lt;-0.000000001,1,0)+IF(Matrizes!E121&lt;-0.000000001,1,0))</f>
        <v>2</v>
      </c>
      <c r="H20" s="2" t="str">
        <f aca="false">IF(Matrizes!$C$107&lt;&gt;"OK","Aguardando dados",IF(G20=3,"Elimina o triângulo inteiro",IF(G20&gt;0,"Exige recorte","Não corta o triângulo")))</f>
        <v>Exige recorte</v>
      </c>
      <c r="I20" s="2"/>
    </row>
    <row r="21" customFormat="false" ht="24" hidden="false" customHeight="true" outlineLevel="0" collapsed="false">
      <c r="A21" s="2"/>
      <c r="B21" s="2" t="s">
        <v>166</v>
      </c>
      <c r="C21" s="2" t="s">
        <v>167</v>
      </c>
      <c r="D21" s="17" t="n">
        <f aca="false">IF(Matrizes!$C$107&lt;&gt;"OK","—",Calculadora!G30)</f>
        <v>1</v>
      </c>
      <c r="E21" s="17" t="n">
        <f aca="false">IF(Matrizes!$C$107&lt;&gt;"OK","—",Calculadora!H30)</f>
        <v>1</v>
      </c>
      <c r="F21" s="17" t="n">
        <f aca="false">IF(Matrizes!$C$107&lt;&gt;"OK","—",Calculadora!I30)</f>
        <v>1</v>
      </c>
      <c r="G21" s="2" t="s">
        <v>168</v>
      </c>
      <c r="H21" s="2" t="s">
        <v>169</v>
      </c>
      <c r="I21" s="2"/>
    </row>
    <row r="22" customFormat="false" ht="24" hidden="false" customHeight="true" outlineLevel="0" collapsed="false">
      <c r="A22" s="2"/>
      <c r="B22" s="4" t="s">
        <v>170</v>
      </c>
      <c r="C22" s="4"/>
      <c r="D22" s="4"/>
      <c r="E22" s="4"/>
      <c r="F22" s="4"/>
      <c r="G22" s="4"/>
      <c r="H22" s="4"/>
      <c r="I22" s="2"/>
    </row>
    <row r="23" customFormat="false" ht="24" hidden="false" customHeight="true" outlineLevel="0" collapsed="false">
      <c r="A23" s="2"/>
      <c r="B23" s="4"/>
      <c r="C23" s="4"/>
      <c r="D23" s="4"/>
      <c r="E23" s="4"/>
      <c r="F23" s="4"/>
      <c r="G23" s="4"/>
      <c r="H23" s="4"/>
      <c r="I23" s="2"/>
    </row>
    <row r="24" customFormat="false" ht="24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24" hidden="false" customHeight="true" outlineLevel="0" collapsed="false">
      <c r="A25" s="2"/>
      <c r="B25" s="5" t="s">
        <v>171</v>
      </c>
      <c r="C25" s="5"/>
      <c r="D25" s="5"/>
      <c r="E25" s="5"/>
      <c r="F25" s="5"/>
      <c r="G25" s="5"/>
      <c r="H25" s="5"/>
      <c r="I25" s="2"/>
    </row>
    <row r="26" customFormat="false" ht="24" hidden="false" customHeight="true" outlineLevel="0" collapsed="false">
      <c r="A26" s="2"/>
      <c r="B26" s="18" t="str">
        <f aca="false">IF(Matrizes!$C$107&lt;&gt;"OK","Aguardando dados.",IF(MIN(Matrizes!G104:I104)&lt;=0,"X: há vértices com W ≤ 0. Os valores após dividir por W não podem ser comparados isoladamente com −1 e 1 para decidir a visibilidade. Use o resultado do recorte acima.","X normalizado: "&amp;"A = "&amp;ROUND(D15,6)&amp;IF(Matrizes!C116&lt;-0.000000001," (à esquerda, fora)",IF(Matrizes!C117&lt;-0.000000001," (à direita, fora)",IF(OR(ABS(Matrizes!C116)&lt;=0.000000001,ABS(Matrizes!C117)&lt;=0.000000001)," (na borda, permitido)"," (dentro)")))&amp;"; "&amp;"B = "&amp;ROUND(E15,6)&amp;IF(Matrizes!D116&lt;-0.000000001," (à esquerda, fora)",IF(Matrizes!D117&lt;-0.000000001," (à direita, fora)",IF(OR(ABS(Matrizes!D116)&lt;=0.000000001,ABS(Matrizes!D117)&lt;=0.000000001)," (na borda, permitido)"," (dentro)")))&amp;"; "&amp;"C = "&amp;ROUND(F15,6)&amp;IF(Matrizes!E116&lt;-0.000000001," (à esquerda, fora)",IF(Matrizes!E117&lt;-0.000000001," (à direita, fora)",IF(OR(ABS(Matrizes!E116)&lt;=0.000000001,ABS(Matrizes!E117)&lt;=0.000000001)," (na borda, permitido)"," (dentro)")))&amp;". O intervalo permitido é de −1 a 1, incluindo os extremos."))</f>
        <v>X normalizado: A = -0.078509 (dentro); B = 0.155824 (dentro); C = 0.025859 (dentro). O intervalo permitido é de −1 a 1, incluindo os extremos.</v>
      </c>
      <c r="C26" s="18"/>
      <c r="D26" s="18"/>
      <c r="E26" s="18"/>
      <c r="F26" s="18"/>
      <c r="G26" s="18"/>
      <c r="H26" s="18"/>
      <c r="I26" s="2"/>
    </row>
    <row r="27" customFormat="false" ht="24" hidden="false" customHeight="true" outlineLevel="0" collapsed="false">
      <c r="A27" s="2"/>
      <c r="B27" s="18"/>
      <c r="C27" s="18"/>
      <c r="D27" s="18"/>
      <c r="E27" s="18"/>
      <c r="F27" s="18"/>
      <c r="G27" s="18"/>
      <c r="H27" s="18"/>
      <c r="I27" s="2"/>
    </row>
    <row r="28" customFormat="false" ht="24" hidden="false" customHeight="true" outlineLevel="0" collapsed="false">
      <c r="A28" s="2"/>
      <c r="B28" s="18"/>
      <c r="C28" s="18"/>
      <c r="D28" s="18"/>
      <c r="E28" s="18"/>
      <c r="F28" s="18"/>
      <c r="G28" s="18"/>
      <c r="H28" s="18"/>
      <c r="I28" s="2"/>
    </row>
    <row r="29" customFormat="false" ht="24" hidden="false" customHeight="true" outlineLevel="0" collapsed="false">
      <c r="A29" s="2"/>
      <c r="B29" s="19" t="str">
        <f aca="false">IF(Matrizes!$C$107&lt;&gt;"OK","Aguardando dados.",IF(MIN(Matrizes!G104:I104)&lt;=0,"Y: há vértices com W ≤ 0. Os valores após dividir por W não podem ser comparados isoladamente com −1 e 1 para decidir a visibilidade. Use o resultado do recorte acima.","Y normalizado: "&amp;"A = "&amp;ROUND(D17,6)&amp;IF(Matrizes!C118&lt;-0.000000001," (abaixo, fora)",IF(Matrizes!C119&lt;-0.000000001," (acima, fora)",IF(OR(ABS(Matrizes!C118)&lt;=0.000000001,ABS(Matrizes!C119)&lt;=0.000000001)," (na borda, permitido)"," (dentro)")))&amp;"; "&amp;"B = "&amp;ROUND(E17,6)&amp;IF(Matrizes!D118&lt;-0.000000001," (abaixo, fora)",IF(Matrizes!D119&lt;-0.000000001," (acima, fora)",IF(OR(ABS(Matrizes!D118)&lt;=0.000000001,ABS(Matrizes!D119)&lt;=0.000000001)," (na borda, permitido)"," (dentro)")))&amp;"; "&amp;"C = "&amp;ROUND(F17,6)&amp;IF(Matrizes!E118&lt;-0.000000001," (abaixo, fora)",IF(Matrizes!E119&lt;-0.000000001," (acima, fora)",IF(OR(ABS(Matrizes!E118)&lt;=0.000000001,ABS(Matrizes!E119)&lt;=0.000000001)," (na borda, permitido)"," (dentro)")))&amp;". O intervalo permitido é de −1 a 1, incluindo os extremos."))</f>
        <v>Y normalizado: A = -0.323117 (dentro); B = 0.744931 (dentro); C = 0.065123 (dentro). O intervalo permitido é de −1 a 1, incluindo os extremos.</v>
      </c>
      <c r="C29" s="19"/>
      <c r="D29" s="19"/>
      <c r="E29" s="19"/>
      <c r="F29" s="19"/>
      <c r="G29" s="19"/>
      <c r="H29" s="19"/>
      <c r="I29" s="2"/>
    </row>
    <row r="30" customFormat="false" ht="24" hidden="false" customHeight="true" outlineLevel="0" collapsed="false">
      <c r="A30" s="2"/>
      <c r="B30" s="19"/>
      <c r="C30" s="19"/>
      <c r="D30" s="19"/>
      <c r="E30" s="19"/>
      <c r="F30" s="19"/>
      <c r="G30" s="19"/>
      <c r="H30" s="19"/>
      <c r="I30" s="2"/>
    </row>
    <row r="31" customFormat="false" ht="24" hidden="false" customHeight="true" outlineLevel="0" collapsed="false">
      <c r="A31" s="2"/>
      <c r="B31" s="19"/>
      <c r="C31" s="19"/>
      <c r="D31" s="19"/>
      <c r="E31" s="19"/>
      <c r="F31" s="19"/>
      <c r="G31" s="19"/>
      <c r="H31" s="19"/>
      <c r="I31" s="2"/>
    </row>
    <row r="32" customFormat="false" ht="24" hidden="false" customHeight="true" outlineLevel="0" collapsed="false">
      <c r="A32" s="2"/>
      <c r="B32" s="18" t="str">
        <f aca="false">IF(Matrizes!$C$107&lt;&gt;"OK","Aguardando dados.",IF(MIN(Matrizes!G104:I104)&lt;=0,"Z: há vértices com W ≤ 0. Os valores após dividir por W não podem ser comparados isoladamente com −1 e 1 para decidir a visibilidade. Use o resultado do recorte acima.","Z normalizado: "&amp;"A = "&amp;ROUND(D19,6)&amp;IF(Matrizes!C120&lt;-0.000000001," (antes do Near, fora)",IF(Matrizes!C121&lt;-0.000000001," (além do Far, fora)",IF(OR(ABS(Matrizes!C120)&lt;=0.000000001,ABS(Matrizes!C121)&lt;=0.000000001)," (na borda, permitido)"," (dentro)")))&amp;"; "&amp;"B = "&amp;ROUND(E19,6)&amp;IF(Matrizes!D120&lt;-0.000000001," (antes do Near, fora)",IF(Matrizes!D121&lt;-0.000000001," (além do Far, fora)",IF(OR(ABS(Matrizes!D120)&lt;=0.000000001,ABS(Matrizes!D121)&lt;=0.000000001)," (na borda, permitido)"," (dentro)")))&amp;"; "&amp;"C = "&amp;ROUND(F19,6)&amp;IF(Matrizes!E120&lt;-0.000000001," (antes do Near, fora)",IF(Matrizes!E121&lt;-0.000000001," (além do Far, fora)",IF(OR(ABS(Matrizes!E120)&lt;=0.000000001,ABS(Matrizes!E121)&lt;=0.000000001)," (na borda, permitido)"," (dentro)")))&amp;". O intervalo permitido é de −1 a 1, incluindo os extremos."))</f>
        <v>Z normalizado: A = 1.029756 (além do Far, fora); B = 0.932724 (dentro); C = 1.023297 (além do Far, fora). O intervalo permitido é de −1 a 1, incluindo os extremos.</v>
      </c>
      <c r="C32" s="18"/>
      <c r="D32" s="18"/>
      <c r="E32" s="18"/>
      <c r="F32" s="18"/>
      <c r="G32" s="18"/>
      <c r="H32" s="18"/>
      <c r="I32" s="2"/>
    </row>
    <row r="33" customFormat="false" ht="24" hidden="false" customHeight="true" outlineLevel="0" collapsed="false">
      <c r="A33" s="2"/>
      <c r="B33" s="18"/>
      <c r="C33" s="18"/>
      <c r="D33" s="18"/>
      <c r="E33" s="18"/>
      <c r="F33" s="18"/>
      <c r="G33" s="18"/>
      <c r="H33" s="18"/>
      <c r="I33" s="2"/>
    </row>
    <row r="34" customFormat="false" ht="24" hidden="false" customHeight="true" outlineLevel="0" collapsed="false">
      <c r="A34" s="2"/>
      <c r="B34" s="18"/>
      <c r="C34" s="18"/>
      <c r="D34" s="18"/>
      <c r="E34" s="18"/>
      <c r="F34" s="18"/>
      <c r="G34" s="18"/>
      <c r="H34" s="18"/>
      <c r="I34" s="2"/>
    </row>
    <row r="35" customFormat="false" ht="24" hidden="false" customHeight="true" outlineLevel="0" collapsed="false">
      <c r="A35" s="2"/>
      <c r="B35" s="20" t="str">
        <f aca="false">IF(Matrizes!$C$107&lt;&gt;"OK","Aguardando dados.","W normalizado: "&amp;"A = "&amp;IF(ISNUMBER(D21),D21,"não definido")&amp;"; "&amp;"B = "&amp;IF(ISNUMBER(E21),E21,"não definido")&amp;"; "&amp;"C = "&amp;IF(ISNUMBER(F21),F21,"não definido")&amp;". Quando a divisão é possível, W/W = 1. Esse 1 é a coordenada homogênea da resposta; não é um limite de visibilidade. É necessário conferir X, Y e Z e o W antes da divisão. Se o W original for zero, não é possível normalizar aquele vértice.")</f>
        <v>W normalizado: A = 1; B = 1; C = 1. Quando a divisão é possível, W/W = 1. Esse 1 é a coordenada homogênea da resposta; não é um limite de visibilidade. É necessário conferir X, Y e Z e o W antes da divisão. Se o W original for zero, não é possível normalizar aquele vértice.</v>
      </c>
      <c r="C35" s="20"/>
      <c r="D35" s="20"/>
      <c r="E35" s="20"/>
      <c r="F35" s="20"/>
      <c r="G35" s="20"/>
      <c r="H35" s="20"/>
      <c r="I35" s="2"/>
    </row>
    <row r="36" customFormat="false" ht="24" hidden="false" customHeight="true" outlineLevel="0" collapsed="false">
      <c r="A36" s="2"/>
      <c r="B36" s="20"/>
      <c r="C36" s="20"/>
      <c r="D36" s="20"/>
      <c r="E36" s="20"/>
      <c r="F36" s="20"/>
      <c r="G36" s="20"/>
      <c r="H36" s="20"/>
      <c r="I36" s="2"/>
    </row>
    <row r="37" customFormat="false" ht="24" hidden="false" customHeight="true" outlineLevel="0" collapsed="false">
      <c r="A37" s="2"/>
      <c r="B37" s="20"/>
      <c r="C37" s="20"/>
      <c r="D37" s="20"/>
      <c r="E37" s="20"/>
      <c r="F37" s="20"/>
      <c r="G37" s="20"/>
      <c r="H37" s="20"/>
      <c r="I37" s="2"/>
    </row>
    <row r="38" customFormat="false" ht="12.8" hidden="false" customHeight="false" outlineLevel="0" collapsed="false">
      <c r="B38" s="20"/>
      <c r="C38" s="20"/>
      <c r="D38" s="20"/>
      <c r="E38" s="20"/>
      <c r="F38" s="20"/>
      <c r="G38" s="20"/>
      <c r="H38" s="20"/>
    </row>
    <row r="40" customFormat="false" ht="12.8" hidden="false" customHeight="true" outlineLevel="0" collapsed="false">
      <c r="B40" s="21" t="s">
        <v>172</v>
      </c>
      <c r="C40" s="21"/>
      <c r="D40" s="21"/>
      <c r="E40" s="21"/>
      <c r="F40" s="21"/>
      <c r="G40" s="21"/>
      <c r="H40" s="21"/>
    </row>
    <row r="41" customFormat="false" ht="12.8" hidden="false" customHeight="false" outlineLevel="0" collapsed="false">
      <c r="B41" s="21"/>
      <c r="C41" s="21"/>
      <c r="D41" s="21"/>
      <c r="E41" s="21"/>
      <c r="F41" s="21"/>
      <c r="G41" s="21"/>
      <c r="H41" s="21"/>
    </row>
    <row r="42" customFormat="false" ht="12.8" hidden="false" customHeight="false" outlineLevel="0" collapsed="false">
      <c r="B42" s="21"/>
      <c r="C42" s="21"/>
      <c r="D42" s="21"/>
      <c r="E42" s="21"/>
      <c r="F42" s="21"/>
      <c r="G42" s="21"/>
      <c r="H42" s="21"/>
    </row>
  </sheetData>
  <mergeCells count="10">
    <mergeCell ref="B6:H6"/>
    <mergeCell ref="B8:H11"/>
    <mergeCell ref="B13:H13"/>
    <mergeCell ref="B22:H23"/>
    <mergeCell ref="B25:H25"/>
    <mergeCell ref="B26:H28"/>
    <mergeCell ref="B29:H31"/>
    <mergeCell ref="B32:H34"/>
    <mergeCell ref="B35:H38"/>
    <mergeCell ref="B40:H42"/>
  </mergeCells>
  <conditionalFormatting sqref="D15:F15">
    <cfRule type="expression" priority="2" aboveAverage="0" equalAverage="0" bottom="0" percent="0" rank="0" text="" dxfId="3">
      <formula>IF(ISNUMBER(D15),(D15+1)*D$26&lt;-0.000000001,0)</formula>
    </cfRule>
    <cfRule type="expression" priority="3" aboveAverage="0" equalAverage="0" bottom="0" percent="0" rank="0" text="" dxfId="4">
      <formula>AND(ISNUMBER(D15),D15&lt;-1-0.000000001)</formula>
    </cfRule>
  </conditionalFormatting>
  <conditionalFormatting sqref="D16:F16">
    <cfRule type="expression" priority="4" aboveAverage="0" equalAverage="0" bottom="0" percent="0" rank="0" text="" dxfId="5">
      <formula>IF(ISNUMBER(D16),(1-D16)*D$26&lt;-0.000000001,0)</formula>
    </cfRule>
    <cfRule type="expression" priority="5" aboveAverage="0" equalAverage="0" bottom="0" percent="0" rank="0" text="" dxfId="6">
      <formula>AND(ISNUMBER(D16),D16&gt;1+0.000000001)</formula>
    </cfRule>
  </conditionalFormatting>
  <conditionalFormatting sqref="D17:F17">
    <cfRule type="expression" priority="6" aboveAverage="0" equalAverage="0" bottom="0" percent="0" rank="0" text="" dxfId="7">
      <formula>IF(ISNUMBER(D17),(D17+1)*D$26&lt;-0.000000001,0)</formula>
    </cfRule>
    <cfRule type="expression" priority="7" aboveAverage="0" equalAverage="0" bottom="0" percent="0" rank="0" text="" dxfId="8">
      <formula>AND(ISNUMBER(D17),D17&lt;-1-0.000000001)</formula>
    </cfRule>
  </conditionalFormatting>
  <conditionalFormatting sqref="D18:F18">
    <cfRule type="expression" priority="8" aboveAverage="0" equalAverage="0" bottom="0" percent="0" rank="0" text="" dxfId="9">
      <formula>IF(ISNUMBER(D18),(1-D18)*D$26&lt;-0.000000001,0)</formula>
    </cfRule>
    <cfRule type="expression" priority="9" aboveAverage="0" equalAverage="0" bottom="0" percent="0" rank="0" text="" dxfId="10">
      <formula>AND(ISNUMBER(D18),D18&gt;1+0.000000001)</formula>
    </cfRule>
  </conditionalFormatting>
  <conditionalFormatting sqref="D19:F19">
    <cfRule type="expression" priority="10" aboveAverage="0" equalAverage="0" bottom="0" percent="0" rank="0" text="" dxfId="11">
      <formula>IF(ISNUMBER(D19),(D19+1)*D$26&lt;-0.000000001,0)</formula>
    </cfRule>
    <cfRule type="expression" priority="11" aboveAverage="0" equalAverage="0" bottom="0" percent="0" rank="0" text="" dxfId="12">
      <formula>AND(ISNUMBER(D19),D19&lt;-1-0.000000001)</formula>
    </cfRule>
  </conditionalFormatting>
  <conditionalFormatting sqref="D20:F20">
    <cfRule type="expression" priority="12" aboveAverage="0" equalAverage="0" bottom="0" percent="0" rank="0" text="" dxfId="13">
      <formula>IF(ISNUMBER(D20),(1-D20)*D$26&lt;-0.000000001,0)</formula>
    </cfRule>
    <cfRule type="expression" priority="13" aboveAverage="0" equalAverage="0" bottom="0" percent="0" rank="0" text="" dxfId="14">
      <formula>AND(ISNUMBER(D20),D20&gt;1+0.000000001)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2026-10-14T20:39:54Z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