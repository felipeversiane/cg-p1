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9a6518cbf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dora" sheetId="1" r:id="Rebba4effc33b44e2"/>
    <x:sheet xmlns:r="http://schemas.openxmlformats.org/officeDocument/2006/relationships" name="Matrizes" sheetId="2" r:id="R7b8437c396624326"/>
    <x:sheet xmlns:r="http://schemas.openxmlformats.org/officeDocument/2006/relationships" name="Detalhes" sheetId="3" r:id="R3b744d2df15141de"/>
    <x:sheet xmlns:r="http://schemas.openxmlformats.org/officeDocument/2006/relationships" name="Colas" sheetId="4" r:id="Rb6196071fd8a4433"/>
    <x:sheet xmlns:r="http://schemas.openxmlformats.org/officeDocument/2006/relationships" name="Guia de uso" sheetId="5" r:id="R49978bcab88046c2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K33" authorId="0">
      <x:text>
        <x:r>
          <x:t>Clique no ⓘ para ver a explicação atualizada da visibilidade. No LibreOffice, use Ctrl+clique se necessário.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<x:sst xmlns:x="http://schemas.openxmlformats.org/spreadsheetml/2006/main">
  <x:si>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Calculadora de um triângulo</x:t>
  </x:si>
  <x:si>
    <x:t xml:space="preserve">Preencha somente as células amarelas.</x:t>
  </x:si>
  <x:si>
    <x:t xml:space="preserve">As respostas são calculadas automaticamente.</x:t>
  </x:si>
  <x:si>
    <x:t xml:space="preserve">Pontos do triângulo</x:t>
  </x:si>
  <x:si>
    <x:t xml:space="preserve">M — transformações do objeto</x:t>
  </x:si>
  <x:si>
    <x:t xml:space="preserve">Vértice</x:t>
  </x:si>
  <x:si>
    <x:t xml:space="preserve">x</x:t>
  </x:si>
  <x:si>
    <x:t xml:space="preserve">y</x:t>
  </x:si>
  <x:si>
    <x:t xml:space="preserve">z</x:t>
  </x:si>
  <x:si>
    <x:t xml:space="preserve">A</x:t>
  </x:si>
  <x:si>
    <x:t xml:space="preserve">B</x:t>
  </x:si>
  <x:si>
    <x:t xml:space="preserve">C</x:t>
  </x:si>
  <x:si>
    <x:t xml:space="preserve">Rotação</x:t>
  </x:si>
  <x:si>
    <x:t xml:space="preserve">MVP — matriz final com câmera</x:t>
  </x:si>
  <x:si>
    <x:t xml:space="preserve">Eixo</x:t>
  </x:si>
  <x:si>
    <x:t xml:space="preserve">Z</x:t>
  </x:si>
  <x:si>
    <x:t xml:space="preserve">Ângulo em graus</x:t>
  </x:si>
  <x:si>
    <x:t xml:space="preserve">Em relação à</x:t>
  </x:si>
  <x:si>
    <x:t xml:space="preserve">Centro</x:t>
  </x:si>
  <x:si>
    <x:t xml:space="preserve">Não pediu rotação? Deixe o eixo em Nenhuma.</x:t>
  </x:si>
  <x:si>
    <x:t xml:space="preserve">Escala</x:t>
  </x:si>
  <x:si>
    <x:t xml:space="preserve">Pontos finais no mundo</x:t>
  </x:si>
  <x:si>
    <x:t xml:space="preserve">Fator</x:t>
  </x:si>
  <x:si>
    <x:t xml:space="preserve">1 = sem mudança   |   2 = dobro   |   0,5 = metade</x:t>
  </x:si>
  <x:si>
    <x:t xml:space="preserve">Deslocamento</x:t>
  </x:si>
  <x:si>
    <x:t xml:space="preserve">w</x:t>
  </x:si>
  <x:si>
    <x:t xml:space="preserve">Somar às coordenadas</x:t>
  </x:si>
  <x:si>
    <x:t xml:space="preserve">Pontos normalizados em W</x:t>
  </x:si>
  <x:si>
    <x:t xml:space="preserve">Não pediu deslocamento? Deixe os três valores em 0.</x:t>
  </x:si>
  <x:si>
    <x:t xml:space="preserve">Câmera</x:t>
  </x:si>
  <x:si>
    <x:t xml:space="preserve">Posição do olho</x:t>
  </x:si>
  <x:si>
    <x:t xml:space="preserve">Apontar para (target)</x:t>
  </x:si>
  <x:si>
    <x:t xml:space="preserve">Target, se Manual</x:t>
  </x:si>
  <x:si>
    <x:t xml:space="preserve">Up vector</x:t>
  </x:si>
  <x:si>
    <x:t xml:space="preserve">Visibilidade</x:t>
  </x:si>
  <x:si>
    <x:t xml:space="preserve">Centro = centro final do triângulo. Preencha o target manual somente se escolher Manual.</x:t>
  </x:si>
  <x:si>
    <x:t xml:space="preserve">Projeção</x:t>
  </x:si>
  <x:si>
    <x:t xml:space="preserve">FOV em graus</x:t>
  </x:si>
  <x:si>
    <x:t xml:space="preserve">Tipo</x:t>
  </x:si>
  <x:si>
    <x:t xml:space="preserve">Vertical</x:t>
  </x:si>
  <x:si>
    <x:t xml:space="preserve">Dentro: todo o triângulo no volume da câmera. Parcialmente: apenas uma parte. Fora: não aparece. Oclusão por outro objeto não é calculada.</x:t>
  </x:si>
  <x:si>
    <x:t xml:space="preserve">Largura da janela</x:t>
  </x:si>
  <x:si>
    <x:t xml:space="preserve">Altura</x:t>
  </x:si>
  <x:si>
    <x:t xml:space="preserve">Near</x:t>
  </x:si>
  <x:si>
    <x:t xml:space="preserve">Far</x:t>
  </x:si>
  <x:si>
    <x:t xml:space="preserve">Use os dados da câmera e da janela do enunciado. Se o FOV não disser horizontal ou vertical, confirme a convenção.</x:t>
  </x:si>
  <x:si>
    <x:t xml:space="preserve">Se precisar apresentar as contas, a aba Matrizes mostra rotação, escala, deslocamento, View, Projection e os produtos intermediários. A configuração continua toda nesta aba.</x:t>
  </x:si>
  <x:si>
    <x:t xml:space="preserve">Ordem usada: rotação, escala e deslocamento. Centro mantém o próprio centro fixo durante a transformação; Origem usa (0,0,0).</x:t>
  </x:si>
  <x:si>
    <x:t xml:space="preserve">Matrizes intermediárias</x:t>
  </x:si>
  <x:si>
    <x:t xml:space="preserve">Preenchimento pela aba Calculadora. Vetores-coluna; projeção OpenGL.</x:t>
  </x:si>
  <x:si>
    <x:t xml:space="preserve">Pontos iniciais</x:t>
  </x:si>
  <x:si>
    <x:t xml:space="preserve">Centro inicial</x:t>
  </x:si>
  <x:si>
    <x:t xml:space="preserve">R — rotação na origem</x:t>
  </x:si>
  <x:si>
    <x:t xml:space="preserve">Pivô da rotação</x:t>
  </x:si>
  <x:si>
    <x:t xml:space="preserve">T(−centro da rotação)</x:t>
  </x:si>
  <x:si>
    <x:t xml:space="preserve">T(+centro da rotação)</x:t>
  </x:si>
  <x:si>
    <x:t xml:space="preserve">MR — rotação com pivô</x:t>
  </x:si>
  <x:si>
    <x:t xml:space="preserve">Pontos após rotação</x:t>
  </x:si>
  <x:si>
    <x:t xml:space="preserve">Centro após rotação</x:t>
  </x:si>
  <x:si>
    <x:t xml:space="preserve">S — escala na origem</x:t>
  </x:si>
  <x:si>
    <x:t xml:space="preserve">Pivô da escala</x:t>
  </x:si>
  <x:si>
    <x:t xml:space="preserve">T(−centro da escala)</x:t>
  </x:si>
  <x:si>
    <x:t xml:space="preserve">T(+centro da escala)</x:t>
  </x:si>
  <x:si>
    <x:t xml:space="preserve">MS — escala com pivô</x:t>
  </x:si>
  <x:si>
    <x:t xml:space="preserve">Pontos após escala</x:t>
  </x:si>
  <x:si>
    <x:t xml:space="preserve">MS · MR</x:t>
  </x:si>
  <x:si>
    <x:t xml:space="preserve">T — deslocamento</x:t>
  </x:si>
  <x:si>
    <x:t xml:space="preserve">M = T · MS · MR</x:t>
  </x:si>
  <x:si>
    <x:t xml:space="preserve">Olho</x:t>
  </x:si>
  <x:si>
    <x:t xml:space="preserve">Target utilizado</x:t>
  </x:si>
  <x:si>
    <x:t xml:space="preserve">f — direção unitária</x:t>
  </x:si>
  <x:si>
    <x:t xml:space="preserve">s — direita unitária</x:t>
  </x:si>
  <x:si>
    <x:t xml:space="preserve">u — Up corrigido</x:t>
  </x:si>
  <x:si>
    <x:t xml:space="preserve">V — câmera (View)</x:t>
  </x:si>
  <x:si>
    <x:t xml:space="preserve">P — perspectiva</x:t>
  </x:si>
  <x:si>
    <x:t xml:space="preserve">MV = V · M</x:t>
  </x:si>
  <x:si>
    <x:t xml:space="preserve">MVP = P · V · M</x:t>
  </x:si>
  <x:si>
    <x:t xml:space="preserve">Pontos em clip</x:t>
  </x:si>
  <x:si>
    <x:t xml:space="preserve">Validade</x:t>
  </x:si>
  <x:si>
    <x:t xml:space="preserve">A ordem aplicada é M = T · MS · MR; o fator mais à direita atua primeiro.</x:t>
  </x:si>
  <x:si>
    <x:t xml:space="preserve">Near &gt; 0; Far &gt; Near; FOV entre 0° e 180°. NDC usa o intervalo [−1, 1].</x:t>
  </x:si>
  <x:si>
    <x:t xml:space="preserve">Visibilidade — recorte do triângulo inteiro</x:t>
  </x:si>
  <x:si>
    <x:t xml:space="preserve">Condição</x:t>
  </x:si>
  <x:si>
    <x:t xml:space="preserve">x + w</x:t>
  </x:si>
  <x:si>
    <x:t xml:space="preserve">w − x</x:t>
  </x:si>
  <x:si>
    <x:t xml:space="preserve">y + w</x:t>
  </x:si>
  <x:si>
    <x:t xml:space="preserve">w − y</x:t>
  </x:si>
  <x:si>
    <x:t xml:space="preserve">z + w</x:t>
  </x:si>
  <x:si>
    <x:t xml:space="preserve">w − z</x:t>
  </x:si>
  <x:si>
    <x:t xml:space="preserve">Estado</x:t>
  </x:si>
  <x:si>
    <x:t xml:space="preserve">Limite</x:t>
  </x:si>
  <x:si>
    <x:t xml:space="preserve">a</x:t>
  </x:si>
  <x:si>
    <x:t xml:space="preserve">b</x:t>
  </x:si>
  <x:si>
    <x:t xml:space="preserve">c</x:t>
  </x:si>
  <x:si>
    <x:t xml:space="preserve">u ≥ 0</x:t>
  </x:si>
  <x:si>
    <x:t xml:space="preserve">v ≥ 0</x:t>
  </x:si>
  <x:si>
    <x:t xml:space="preserve">u + v ≤ 1</x:t>
  </x:si>
  <x:si>
    <x:t xml:space="preserve">Plano 1</x:t>
  </x:si>
  <x:si>
    <x:t xml:space="preserve">Plano 2</x:t>
  </x:si>
  <x:si>
    <x:t xml:space="preserve">Plano 3</x:t>
  </x:si>
  <x:si>
    <x:t xml:space="preserve">Plano 4</x:t>
  </x:si>
  <x:si>
    <x:t xml:space="preserve">Plano 5</x:t>
  </x:si>
  <x:si>
    <x:t xml:space="preserve">Plano 6</x:t>
  </x:si>
  <x:si>
    <x:t xml:space="preserve">Par</x:t>
  </x:si>
  <x:si>
    <x:t xml:space="preserve">Det.</x:t>
  </x:si>
  <x:si>
    <x:t xml:space="preserve">u</x:t>
  </x:si>
  <x:si>
    <x:t xml:space="preserve">v</x:t>
  </x:si>
  <x:si>
    <x:t xml:space="preserve">Limite 1</x:t>
  </x:si>
  <x:si>
    <x:t xml:space="preserve">Limite 2</x:t>
  </x:si>
  <x:si>
    <x:t xml:space="preserve">Limite 3</x:t>
  </x:si>
  <x:si>
    <x:t xml:space="preserve">Limite 4</x:t>
  </x:si>
  <x:si>
    <x:t xml:space="preserve">Limite 5</x:t>
  </x:si>
  <x:si>
    <x:t xml:space="preserve">Limite 6</x:t>
  </x:si>
  <x:si>
    <x:t xml:space="preserve">Limite 7</x:t>
  </x:si>
  <x:si>
    <x:t xml:space="preserve">Limite 8</x:t>
  </x:si>
  <x:si>
    <x:t xml:space="preserve">Limite 9</x:t>
  </x:si>
  <x:si>
    <x:t xml:space="preserve">Viável</x:t>
  </x:si>
  <x:si>
    <x:t xml:space="preserve">1 / 2</x:t>
  </x:si>
  <x:si>
    <x:t xml:space="preserve">1 / 3</x:t>
  </x:si>
  <x:si>
    <x:t xml:space="preserve">1 / 4</x:t>
  </x:si>
  <x:si>
    <x:t xml:space="preserve">1 / 5</x:t>
  </x:si>
  <x:si>
    <x:t xml:space="preserve">1 / 6</x:t>
  </x:si>
  <x:si>
    <x:t xml:space="preserve">1 / 7</x:t>
  </x:si>
  <x:si>
    <x:t xml:space="preserve">1 / 8</x:t>
  </x:si>
  <x:si>
    <x:t xml:space="preserve">1 / 9</x:t>
  </x:si>
  <x:si>
    <x:t xml:space="preserve">2 / 3</x:t>
  </x:si>
  <x:si>
    <x:t xml:space="preserve">2 / 4</x:t>
  </x:si>
  <x:si>
    <x:t xml:space="preserve">2 / 5</x:t>
  </x:si>
  <x:si>
    <x:t xml:space="preserve">2 / 6</x:t>
  </x:si>
  <x:si>
    <x:t xml:space="preserve">2 / 7</x:t>
  </x:si>
  <x:si>
    <x:t xml:space="preserve">2 / 8</x:t>
  </x:si>
  <x:si>
    <x:t xml:space="preserve">2 / 9</x:t>
  </x:si>
  <x:si>
    <x:t xml:space="preserve">3 / 4</x:t>
  </x:si>
  <x:si>
    <x:t xml:space="preserve">3 / 5</x:t>
  </x:si>
  <x:si>
    <x:t xml:space="preserve">3 / 6</x:t>
  </x:si>
  <x:si>
    <x:t xml:space="preserve">3 / 7</x:t>
  </x:si>
  <x:si>
    <x:t xml:space="preserve">3 / 8</x:t>
  </x:si>
  <x:si>
    <x:t xml:space="preserve">3 / 9</x:t>
  </x:si>
  <x:si>
    <x:t xml:space="preserve">4 / 5</x:t>
  </x:si>
  <x:si>
    <x:t xml:space="preserve">4 / 6</x:t>
  </x:si>
  <x:si>
    <x:t xml:space="preserve">4 / 7</x:t>
  </x:si>
  <x:si>
    <x:t xml:space="preserve">4 / 8</x:t>
  </x:si>
  <x:si>
    <x:t xml:space="preserve">4 / 9</x:t>
  </x:si>
  <x:si>
    <x:t xml:space="preserve">5 / 6</x:t>
  </x:si>
  <x:si>
    <x:t xml:space="preserve">5 / 7</x:t>
  </x:si>
  <x:si>
    <x:t xml:space="preserve">5 / 8</x:t>
  </x:si>
  <x:si>
    <x:t xml:space="preserve">5 / 9</x:t>
  </x:si>
  <x:si>
    <x:t xml:space="preserve">6 / 7</x:t>
  </x:si>
  <x:si>
    <x:t xml:space="preserve">6 / 8</x:t>
  </x:si>
  <x:si>
    <x:t xml:space="preserve">6 / 9</x:t>
  </x:si>
  <x:si>
    <x:t xml:space="preserve">7 / 8</x:t>
  </x:si>
  <x:si>
    <x:t xml:space="preserve">7 / 9</x:t>
  </x:si>
  <x:si>
    <x:t xml:space="preserve">8 / 9</x:t>
  </x:si>
  <x:si>
    <x:t xml:space="preserve">Por que essa visibilidade?</x:t>
  </x:si>
  <x:si>
    <x:t xml:space="preserve">Fora (nº)</x:t>
  </x:si>
  <x:si>
    <x:t xml:space="preserve">Consequência</x:t>
  </x:si>
  <x:si>
    <x:t xml:space="preserve">Esquerdo</x:t>
  </x:si>
  <x:si>
    <x:t xml:space="preserve">X/W ≥ −1</x:t>
  </x:si>
  <x:si>
    <x:t xml:space="preserve">Direito</x:t>
  </x:si>
  <x:si>
    <x:t xml:space="preserve">X/W ≤ 1</x:t>
  </x:si>
  <x:si>
    <x:t xml:space="preserve">Inferior</x:t>
  </x:si>
  <x:si>
    <x:t xml:space="preserve">Y/W ≥ −1</x:t>
  </x:si>
  <x:si>
    <x:t xml:space="preserve">Superior</x:t>
  </x:si>
  <x:si>
    <x:t xml:space="preserve">Y/W ≤ 1</x:t>
  </x:si>
  <x:si>
    <x:t xml:space="preserve">Z/W ≥ −1</x:t>
  </x:si>
  <x:si>
    <x:t xml:space="preserve">Z/W ≤ 1</x:t>
  </x:si>
  <x:si>
    <x:t xml:space="preserve">W normalizado</x:t>
  </x:si>
  <x:si>
    <x:t xml:space="preserve">W/W = 1</x:t>
  </x:si>
  <x:si>
    <x:t xml:space="preserve">—</x:t>
  </x:si>
  <x:si>
    <x:t xml:space="preserve">Resultado da divisão</x:t>
  </x:si>
  <x:si>
    <x:t xml:space="preserve">X aparece duas vezes para testar esquerda e direita; Y, para baixo e cima; Z, para Near e Far. Vermelho destaca valores normalizados fora do intervalo da linha. Os valores são os mesmos da resposta na calculadora.</x:t>
  </x:si>
  <x:si>
    <x:t xml:space="preserve">Explicação completa de X, Y, Z e W</x:t>
  </x:si>
  <x:si>
    <x:t xml:space="preserve">Um ponto só está dentro quando X, Y e Z respeitam seus limites ao mesmo tempo. Na borda também é permitido. A classificação considera o triângulo inteiro, inclusive arestas e interior. Oclusão por outro objeto e descarte de faces não são calculados. Tolerância no recorte: 10⁻⁹.</x:t>
  </x:si>
</x:sst>
</file>

<file path=xl/styles.xml><?xml version="1.0" encoding="utf-8"?>
<x:styleSheet xmlns:x="http://schemas.openxmlformats.org/spreadsheetml/2006/main">
  <x:numFmts count="13">
    <x:numFmt numFmtId="164" formatCode="General"/>
    <x:numFmt numFmtId="165" formatCode="_(* #,##0.00_);_(* \(#,##0.00\);_(* \-??_);_(@_)"/>
    <x:numFmt numFmtId="166" formatCode="\ * #,##0.00\ ;\ * \(#,##0.00\);\ * \-00\ ;\ @\ "/>
    <x:numFmt numFmtId="167" formatCode="_(* #,##0_);_(* \(#,##0\);_(* &quot;- _)&quot;;_(@_)"/>
    <x:numFmt numFmtId="168" formatCode="\ * #,##0\ ;\ * \(#,##0\);\ * &quot;- &quot;;\ @\ "/>
    <x:numFmt numFmtId="169" formatCode="_(\$* #,##0.00_);_(\$* \(#,##0.00\);_(\$* \-??_);_(@_)"/>
    <x:numFmt numFmtId="170" formatCode="\$* #,##0.00\ ;\$* \(#,##0.00\);\$* \-00\ ;\ @\ "/>
    <x:numFmt numFmtId="171" formatCode="_(\$* #,##0_);_(\$* \(#,##0\);_(\$* &quot;- _)&quot;;_(@_)"/>
    <x:numFmt numFmtId="172" formatCode="\$* #,##0\ ;\$* \(#,##0\);\$* &quot;- &quot;;\ @\ "/>
    <x:numFmt numFmtId="173" formatCode="0%"/>
    <x:numFmt numFmtId="174" formatCode="0.000000;\-0.000000;0"/>
    <x:numFmt numFmtId="175" formatCode="0.000000"/>
    <x:numFmt numFmtId="176" formatCode="0"/>
  </x:numFmts>
  <x:fonts count="34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1"/>
      <x:color rgb="FF172B4D"/>
      <x:name val="Arial"/>
    </x:font>
    <x:font>
      <x:b/>
      <x:sz val="17"/>
      <x:color rgb="FF172B4D"/>
      <x:name val="Arial"/>
    </x:font>
    <x:font>
      <x:sz val="10"/>
      <x:color rgb="FF53647B"/>
      <x:name val="Arial"/>
    </x:font>
    <x:font>
      <x:b/>
      <x:sz val="11"/>
      <x:color rgb="FFFFFFFF"/>
      <x:name val="Arial"/>
    </x:font>
    <x:font>
      <x:b/>
      <x:sz val="11"/>
      <x:color rgb="FF172B4D"/>
      <x:name val="Arial"/>
    </x:font>
    <x:font>
      <x:sz val="11"/>
      <x:color rgb="FF765200"/>
      <x:name val="Arial"/>
    </x:font>
    <x:font>
      <x:sz val="12"/>
      <x:color rgb="FFD5E1F1"/>
      <x:name val="Arial"/>
    </x:font>
    <x:font>
      <x:sz val="11"/>
      <x:color rgb="FF294C7A"/>
      <x:name val="Arial"/>
    </x:font>
    <x:font>
      <x:sz val="10"/>
      <x:color rgb="FF51627A"/>
      <x:name val="Arial"/>
    </x:font>
    <x:font>
      <x:b/>
      <x:sz val="17"/>
      <x:color rgb="FF172B4D"/>
      <x:name val="Arial"/>
      <x:family val="2"/>
    </x:font>
    <x:font>
      <x:sz val="10"/>
      <x:color rgb="FF53647B"/>
      <x:name val="Arial"/>
      <x:family val="2"/>
    </x:font>
    <x:font>
      <x:b/>
      <x:sz val="10"/>
      <x:color rgb="FFFFFFFF"/>
      <x:name val="Arial"/>
      <x:family val="2"/>
    </x:font>
    <x:font>
      <x:sz val="10"/>
      <x:color rgb="FF172B4D"/>
      <x:name val="Arial"/>
      <x:family val="2"/>
    </x:font>
    <x:font>
      <x:b/>
      <x:sz val="10"/>
      <x:color rgb="FF172B4D"/>
      <x:name val="Arial"/>
      <x:family val="2"/>
    </x:font>
    <x:font>
      <x:b/>
      <x:sz val="12"/>
      <x:color rgb="FF172B4D"/>
      <x:name val="Arial"/>
      <x:family val="2"/>
    </x:font>
    <x:font>
      <x:b/>
      <x:sz val="11"/>
      <x:color rgb="FF172B4D"/>
      <x:name val="Arial"/>
      <x:family val="2"/>
    </x:font>
    <x:font>
      <x:b/>
      <x:sz val="11"/>
      <x:color rgb="FFFFFFFF"/>
      <x:name val="Arial"/>
      <x:family val="2"/>
    </x:font>
    <x:font>
      <x:b/>
      <x:sz val="18"/>
      <x:color rgb="FFFFFFFF"/>
      <x:name val="Arial"/>
      <x:family val="2"/>
    </x:font>
    <x:font>
      <x:sz val="10"/>
      <x:color rgb="FF5E7086"/>
      <x:name val="Arial"/>
      <x:family val="2"/>
    </x:font>
    <x:font>
      <x:sz val="10.5"/>
      <x:color rgb="FF20344D"/>
      <x:name val="Arial"/>
      <x:family val="2"/>
    </x:font>
    <x:font>
      <x:b/>
      <x:sz val="10.5"/>
      <x:color rgb="FF173B63"/>
      <x:name val="Arial"/>
      <x:family val="2"/>
    </x:font>
    <x:font>
      <x:sz val="10"/>
      <x:color rgb="FF20344D"/>
      <x:name val="Arial"/>
      <x:family val="2"/>
    </x:font>
    <x:font>
      <x:b/>
      <x:sz val="10"/>
      <x:color rgb="FF173B63"/>
      <x:name val="Arial"/>
      <x:family val="2"/>
    </x:font>
    <x:font>
      <x:b/>
      <x:sz val="9.5"/>
      <x:color rgb="FF5E7086"/>
      <x:name val="Arial"/>
      <x:family val="2"/>
    </x:font>
    <x:font>
      <x:b/>
      <x:sz val="12"/>
      <x:color rgb="FFFFFFFF"/>
      <x:name val="Arial"/>
      <x:family val="2"/>
    </x:font>
    <x:font>
      <x:b/>
      <x:sz val="11"/>
      <x:color rgb="FF173B63"/>
      <x:name val="Arial"/>
      <x:family val="2"/>
    </x:font>
    <x:font>
      <x:b/>
      <x:sz val="10.5"/>
      <x:color rgb="FF20344D"/>
      <x:name val="Arial"/>
      <x:family val="2"/>
    </x:font>
    <x:font>
      <x:sz val="10"/>
      <x:color rgb="FF20344D"/>
      <x:name val="Consolas"/>
      <x:family val="2"/>
    </x:font>
    <x:font>
      <x:b/>
      <x:sz val="10.5"/>
      <x:color rgb="FFFFFFFF"/>
      <x:name val="Arial"/>
      <x:family val="2"/>
    </x:font>
  </x:fonts>
  <x:fills count="17">
    <x:fill>
      <x:patternFill patternType="none"/>
    </x:fill>
    <x:fill>
      <x:patternFill patternType="gray125"/>
    </x:fill>
    <x:fill>
      <x:patternFill patternType="solid">
        <x:fgColor rgb="FF294C7A"/>
      </x:patternFill>
    </x:fill>
    <x:fill>
      <x:patternFill patternType="solid">
        <x:fgColor rgb="FFEAF0F8"/>
      </x:patternFill>
    </x:fill>
    <x:fill>
      <x:patternFill patternType="solid">
        <x:fgColor rgb="FFFFF1C2"/>
      </x:patternFill>
    </x:fill>
    <x:fill>
      <x:patternFill patternType="solid">
        <x:fgColor rgb="FFF6F8FB"/>
      </x:patternFill>
    </x:fill>
    <x:fill>
      <x:patternFill patternType="solid">
        <x:fgColor rgb="FFF5F8FC"/>
      </x:patternFill>
    </x:fill>
    <x:fill>
      <x:patternFill patternType="solid">
        <x:fgColor rgb="FFFFFFFF"/>
      </x:patternFill>
    </x:fill>
    <x:fill>
      <x:patternFill patternType="solid">
        <x:fgColor rgb="FF294C7A"/>
      </x:patternFill>
    </x:fill>
    <x:fill>
      <x:patternFill patternType="solid">
        <x:fgColor rgb="FFEAF0F8"/>
      </x:patternFill>
    </x:fill>
    <x:fill>
      <x:patternFill patternType="solid">
        <x:fgColor rgb="FFF6F8FB"/>
      </x:patternFill>
    </x:fill>
    <x:fill>
      <x:patternFill patternType="solid">
        <x:fgColor rgb="FF173B63"/>
      </x:patternFill>
    </x:fill>
    <x:fill>
      <x:patternFill patternType="solid">
        <x:fgColor rgb="FFEAF1F8"/>
      </x:patternFill>
    </x:fill>
    <x:fill>
      <x:patternFill patternType="solid">
        <x:fgColor rgb="FF2F5D86"/>
      </x:patternFill>
    </x:fill>
    <x:fill>
      <x:patternFill patternType="solid">
        <x:fgColor rgb="FFE5F3F1"/>
      </x:patternFill>
    </x:fill>
    <x:fill>
      <x:patternFill patternType="solid">
        <x:fgColor rgb="FFFFF4D8"/>
      </x:patternFill>
    </x:fill>
    <x:fill>
      <x:patternFill patternType="solid">
        <x:fgColor rgb="FFF0ECF8"/>
      </x:patternFill>
    </x:fill>
  </x:fills>
  <x:borders count="7">
    <x:border diagonalUp="0" diagonalDown="0">
      <x:left/>
      <x:right/>
      <x:top/>
      <x:bottom/>
      <x:diagonal/>
    </x:border>
    <x:border diagonalUp="0" diagonalDown="0">
      <x:left/>
      <x:right/>
      <x:top/>
      <x:bottom style="thin">
        <x:color rgb="FFE3E9F0"/>
      </x:bottom>
      <x:diagonal/>
    </x:border>
    <x:border diagonalUp="0" diagonalDown="0">
      <x:left/>
      <x:right/>
      <x:top style="thin">
        <x:color rgb="FFE3E9F0"/>
      </x:top>
      <x:bottom style="thin">
        <x:color rgb="FFE3E9F0"/>
      </x:bottom>
      <x:diagonal/>
    </x:border>
    <x:border diagonalUp="0" diagonalDown="0">
      <x:left/>
      <x:right/>
      <x:top style="thin">
        <x:color rgb="FFE3E9F0"/>
      </x:top>
      <x:bottom/>
      <x:diagonal/>
    </x:border>
    <x:border diagonalUp="0" diagonalDown="0">
      <x:left/>
      <x:right/>
      <x:top/>
      <x:bottom style="thin">
        <x:color rgb="FFDCE4ED"/>
      </x:bottom>
      <x:diagonal/>
    </x:border>
    <x:border diagonalUp="0" diagonalDown="0">
      <x:left/>
      <x:right/>
      <x:top style="thin">
        <x:color rgb="FFDCE4ED"/>
      </x:top>
      <x:bottom style="thin">
        <x:color rgb="FFDCE4ED"/>
      </x:bottom>
      <x:diagonal/>
    </x:border>
    <x:border diagonalUp="0" diagonalDown="0">
      <x:left/>
      <x:right/>
      <x:top style="thin">
        <x:color rgb="FFDCE4ED"/>
      </x:top>
      <x:bottom/>
      <x:diagonal/>
    </x:border>
  </x:borders>
  <x:cellStyleXfs count="39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1" fillId="0" borderId="0" applyFont="1" applyBorder="0" applyAlignment="1" applyProtection="0">
      <x:alignment horizontal="general" vertical="bottom" wrapText="0" shrinkToFit="0"/>
    </x:xf>
    <x:xf numFmtId="166" fontId="1" fillId="0" borderId="0" applyFont="1" applyBorder="0" applyAlignment="1" applyProtection="0">
      <x:alignment horizontal="general" vertical="bottom" wrapText="0" shrinkToFit="0"/>
    </x:xf>
    <x:xf numFmtId="165" fontId="1" fillId="0" borderId="0" applyFont="1" applyBorder="0" applyAlignment="1" applyProtection="0">
      <x:alignment horizontal="general" vertical="bottom" wrapText="0" shrinkToFit="0"/>
    </x:xf>
    <x:xf numFmtId="167" fontId="1" fillId="0" borderId="0" applyFont="1" applyBorder="0" applyAlignment="1" applyProtection="0">
      <x:alignment horizontal="general" vertical="bottom" wrapText="0" shrinkToFit="0"/>
    </x:xf>
    <x:xf numFmtId="168" fontId="1" fillId="0" borderId="0" applyFont="1" applyBorder="0" applyAlignment="1" applyProtection="0">
      <x:alignment horizontal="general" vertical="bottom" wrapText="0" shrinkToFit="0"/>
    </x:xf>
    <x:xf numFmtId="167" fontId="1" fillId="0" borderId="0" applyFont="1" applyBorder="0" applyAlignment="1" applyProtection="0">
      <x:alignment horizontal="general" vertical="bottom" wrapText="0" shrinkToFit="0"/>
    </x:xf>
    <x:xf numFmtId="169" fontId="1" fillId="0" borderId="0" applyFont="1" applyBorder="0" applyAlignment="1" applyProtection="0">
      <x:alignment horizontal="general" vertical="bottom" wrapText="0" shrinkToFit="0"/>
    </x:xf>
    <x:xf numFmtId="170" fontId="1" fillId="0" borderId="0" applyFont="1" applyBorder="0" applyAlignment="1" applyProtection="0">
      <x:alignment horizontal="general" vertical="bottom" wrapText="0" shrinkToFit="0"/>
    </x:xf>
    <x:xf numFmtId="169" fontId="1" fillId="0" borderId="0" applyFont="1" applyBorder="0" applyAlignment="1" applyProtection="0">
      <x:alignment horizontal="general" vertical="bottom" wrapText="0" shrinkToFit="0"/>
    </x:xf>
    <x:xf numFmtId="171" fontId="1" fillId="0" borderId="0" applyFont="1" applyBorder="0" applyAlignment="1" applyProtection="0">
      <x:alignment horizontal="general" vertical="bottom" wrapText="0" shrinkToFit="0"/>
    </x:xf>
    <x:xf numFmtId="172" fontId="1" fillId="0" borderId="0" applyFont="1" applyBorder="0" applyAlignment="1" applyProtection="0">
      <x:alignment horizontal="general" vertical="bottom" wrapText="0" shrinkToFit="0"/>
    </x:xf>
    <x:xf numFmtId="171" fontId="1" fillId="0" borderId="0" applyFont="1" applyBorder="0" applyAlignment="1" applyProtection="0">
      <x:alignment horizontal="general" vertical="bottom" wrapText="0" shrinkToFit="0"/>
    </x:xf>
    <x:xf numFmtId="164" fontId="1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1" fillId="0" borderId="0" applyFont="1" applyBorder="1" applyAlignment="1" applyProtection="1">
      <x:alignment horizontal="general" vertical="bottom" wrapText="0" shrinkToFit="0"/>
      <x:protection locked="1" hidden="0"/>
    </x:xf>
    <x:xf numFmtId="164" fontId="1" fillId="0" borderId="0" applyFont="1" applyBorder="1" applyAlignment="1" applyProtection="1">
      <x:alignment horizontal="general" vertical="bottom" wrapText="0" shrinkToFit="0"/>
      <x:protection locked="1" hidden="0"/>
    </x:xf>
    <x:xf numFmtId="173" fontId="1" fillId="0" borderId="0" applyFont="1" applyBorder="0" applyAlignment="1" applyProtection="0">
      <x:alignment horizontal="general" vertical="bottom" wrapText="0" shrinkToFit="0"/>
    </x:xf>
    <x:xf numFmtId="173" fontId="1" fillId="0" borderId="0" applyFont="1" applyBorder="0" applyAlignment="1" applyProtection="0">
      <x:alignment horizontal="general" vertical="bottom" wrapText="0" shrinkToFit="0"/>
    </x:xf>
    <x:xf numFmtId="173" fontId="1" fillId="0" borderId="0" applyFont="1" applyBorder="0" applyAlignment="1" applyProtection="0">
      <x:alignment horizontal="general" vertical="bottom" wrapText="0" shrinkToFit="0"/>
    </x:xf>
  </x:cellStyleXfs>
  <x:cellXfs count="136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1">
      <x:alignment horizontal="general" vertical="bottom" wrapText="0" shrinkToFit="0"/>
      <x:protection locked="1" hidden="0"/>
    </x:xf>
    <x:xf numFmtId="164" fontId="5" fillId="0" borderId="0" xfId="33" applyFont="1" applyBorder="1" applyAlignment="1" applyProtection="1">
      <x:alignment horizontal="general" vertical="center" wrapText="0" shrinkToFit="0"/>
      <x:protection locked="1" hidden="0"/>
    </x:xf>
    <x:xf numFmtId="164" fontId="6" fillId="0" borderId="0" xfId="33" applyFont="1" applyBorder="1" applyAlignment="1" applyProtection="1">
      <x:alignment horizontal="general" vertical="center" wrapText="0" shrinkToFit="0"/>
      <x:protection locked="1" hidden="0"/>
    </x:xf>
    <x:xf numFmtId="164" fontId="7" fillId="0" borderId="0" xfId="33" applyFont="1" applyBorder="1" applyAlignment="1" applyProtection="1">
      <x:alignment horizontal="general" vertical="center" wrapText="1" shrinkToFit="0"/>
      <x:protection locked="1" hidden="0"/>
    </x:xf>
    <x:xf numFmtId="164" fontId="8" fillId="2" borderId="0" xfId="33" applyFont="1" applyBorder="1" applyAlignment="1" applyProtection="1">
      <x:alignment horizontal="general" vertical="center" wrapText="0" shrinkToFit="0"/>
      <x:protection locked="1" hidden="0"/>
    </x:xf>
    <x:xf numFmtId="164" fontId="9" fillId="0" borderId="0" xfId="33" applyFont="1" applyBorder="1" applyAlignment="1" applyProtection="1">
      <x:alignment horizontal="center" vertical="center" wrapText="0" shrinkToFit="0"/>
      <x:protection locked="1" hidden="0"/>
    </x:xf>
    <x:xf numFmtId="174" fontId="5" fillId="3" borderId="0" xfId="33" applyFont="1" applyBorder="1" applyAlignment="1" applyProtection="1">
      <x:alignment horizontal="general" vertical="center" wrapText="0" shrinkToFit="0"/>
      <x:protection locked="1" hidden="0"/>
    </x:xf>
    <x:xf numFmtId="164" fontId="10" fillId="4" borderId="0" xfId="33" applyFont="1" applyBorder="1" applyAlignment="1" applyProtection="1">
      <x:alignment horizontal="general" vertical="center" wrapText="0" shrinkToFit="0"/>
      <x:protection locked="1" hidden="0"/>
    </x:xf>
    <x:xf numFmtId="164" fontId="11" fillId="2" borderId="0" xfId="33" applyFont="1" applyBorder="1" applyAlignment="1" applyProtection="1">
      <x:alignment horizontal="center" vertical="center" wrapText="0" shrinkToFit="0"/>
      <x:protection locked="1" hidden="0"/>
    </x:xf>
    <x:xf numFmtId="164" fontId="9" fillId="3" borderId="0" xfId="33" applyFont="1" applyBorder="1" applyAlignment="1" applyProtection="1">
      <x:alignment horizontal="general" vertical="center" wrapText="1" shrinkToFit="0"/>
      <x:protection locked="1" hidden="0"/>
    </x:xf>
    <x:xf numFmtId="174" fontId="5" fillId="0" borderId="0" xfId="33" applyFont="1" applyBorder="1" applyAlignment="1" applyProtection="1">
      <x:alignment horizontal="general" vertical="center" wrapText="0" shrinkToFit="0"/>
      <x:protection locked="1" hidden="0"/>
    </x:xf>
    <x:xf numFmtId="164" fontId="12" fillId="0" borderId="0" xfId="33" applyFont="1" applyBorder="1" applyAlignment="1" applyProtection="1">
      <x:alignment horizontal="general" vertical="center" wrapText="0" shrinkToFit="0"/>
      <x:protection locked="1" hidden="0"/>
    </x:xf>
    <x:xf numFmtId="164" fontId="5" fillId="5" borderId="0" xfId="33" applyFont="1" applyBorder="1" applyAlignment="1" applyProtection="1">
      <x:alignment horizontal="general" vertical="center" wrapText="1" shrinkToFit="0"/>
      <x:protection locked="1" hidden="0"/>
    </x:xf>
    <x:xf numFmtId="164" fontId="7" fillId="0" borderId="0" xfId="33" applyFont="1" applyBorder="1" applyAlignment="1" applyProtection="1">
      <x:alignment horizontal="general" vertical="center" wrapText="0" shrinkToFit="0"/>
      <x:protection locked="1" hidden="0"/>
    </x:xf>
    <x:xf numFmtId="175" fontId="5" fillId="0" borderId="0" xfId="35" applyFont="1" applyBorder="1" applyAlignment="1" applyProtection="1">
      <x:alignment horizontal="right" vertical="center" wrapText="0" shrinkToFit="0"/>
      <x:protection locked="1" hidden="0"/>
    </x:xf>
    <x:xf numFmtId="164" fontId="5" fillId="0" borderId="0" xfId="34" applyFont="1" applyBorder="1" applyAlignment="1" applyProtection="1">
      <x:alignment horizontal="center" vertical="center" wrapText="0" shrinkToFit="0"/>
      <x:protection locked="1" hidden="0"/>
    </x:xf>
    <x:xf numFmtId="176" fontId="5" fillId="0" borderId="0" xfId="32" applyFont="1" applyBorder="1" applyAlignment="1" applyProtection="1">
      <x:alignment horizontal="general" vertical="center" wrapText="0" shrinkToFit="0"/>
      <x:protection locked="1" hidden="0"/>
    </x:xf>
    <x:xf numFmtId="164" fontId="5" fillId="6" borderId="0" xfId="35" applyFont="1" applyBorder="1" applyAlignment="1" applyProtection="1">
      <x:alignment horizontal="general" vertical="center" wrapText="1" shrinkToFit="0"/>
      <x:protection locked="1" hidden="0"/>
    </x:xf>
    <x:xf numFmtId="164" fontId="5" fillId="7" borderId="0" xfId="35" applyFont="1" applyBorder="1" applyAlignment="1" applyProtection="1">
      <x:alignment horizontal="general" vertical="center" wrapText="1" shrinkToFit="0"/>
      <x:protection locked="1" hidden="0"/>
    </x:xf>
    <x:xf numFmtId="164" fontId="5" fillId="7" borderId="0" xfId="32" applyFont="1" applyBorder="1" applyAlignment="1" applyProtection="1">
      <x:alignment horizontal="general" vertical="center" wrapText="1" shrinkToFit="0"/>
      <x:protection locked="1" hidden="0"/>
    </x:xf>
    <x:xf numFmtId="164" fontId="13" fillId="0" borderId="0" xfId="32" applyFont="1" applyBorder="1" applyAlignment="1" applyProtection="1">
      <x:alignment horizontal="general" vertical="center" wrapText="1" shrinkToFit="0"/>
      <x:protection locked="1" hidden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5" fillId="0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6" fillId="8" borderId="0" xfId="0" applyNumberFormat="1" applyFont="1" applyFill="1" applyBorder="1" applyAlignment="1">
      <x:alignment horizontal="general" vertical="bottom" wrapText="0"/>
    </x:xf>
    <x:xf numFmtId="164" fontId="16" fillId="8" borderId="0" xfId="0" applyNumberFormat="1" applyFont="1" applyFill="1" applyBorder="1" applyAlignment="1">
      <x:alignment horizontal="center" vertical="bottom" wrapText="0"/>
    </x:xf>
    <x:xf numFmtId="164" fontId="16" fillId="8" borderId="0" xfId="0" applyNumberFormat="1" applyFont="1" applyFill="1" applyBorder="1" applyAlignment="1">
      <x:alignment horizontal="center" vertical="center" wrapText="0"/>
    </x:xf>
    <x:xf numFmtId="164" fontId="17" fillId="0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0"/>
    </x:xf>
    <x:xf numFmtId="164" fontId="18" fillId="8" borderId="0" xfId="0" applyNumberFormat="1" applyFont="1" applyFill="1" applyBorder="1" applyAlignment="1">
      <x:alignment horizontal="center" vertical="center" wrapText="0"/>
    </x:xf>
    <x:xf numFmtId="164" fontId="17" fillId="0" borderId="0" xfId="0" applyNumberFormat="1" applyFont="1" applyFill="1" applyBorder="1" applyAlignment="1">
      <x:alignment horizontal="general" vertical="bottom" wrapText="1"/>
    </x:xf>
    <x:xf numFmtId="164" fontId="17" fillId="0" borderId="0" xfId="0" applyNumberFormat="1" applyFont="1" applyFill="1" applyBorder="1" applyAlignment="1">
      <x:alignment horizontal="general" vertical="top" wrapText="1"/>
    </x:xf>
    <x:xf numFmtId="164" fontId="18" fillId="8" borderId="1" xfId="0" applyNumberFormat="1" applyFont="1" applyFill="1" applyBorder="1" applyAlignment="1">
      <x:alignment horizontal="center" vertical="center" wrapText="0"/>
    </x:xf>
    <x:xf numFmtId="164" fontId="17" fillId="0" borderId="2" xfId="0" applyNumberFormat="1" applyFont="1" applyFill="1" applyBorder="1" applyAlignment="1">
      <x:alignment horizontal="general" vertical="top" wrapText="1"/>
    </x:xf>
    <x:xf numFmtId="164" fontId="17" fillId="0" borderId="3" xfId="0" applyNumberFormat="1" applyFont="1" applyFill="1" applyBorder="1" applyAlignment="1">
      <x:alignment horizontal="general" vertical="top" wrapText="1"/>
    </x:xf>
    <x:xf numFmtId="164" fontId="17" fillId="8" borderId="2" xfId="0" applyNumberFormat="1" applyFont="1" applyFill="1" applyBorder="1" applyAlignment="1">
      <x:alignment horizontal="general" vertical="top" wrapText="1"/>
    </x:xf>
    <x:xf numFmtId="164" fontId="16" fillId="8" borderId="2" xfId="0" applyNumberFormat="1" applyFont="1" applyFill="1" applyBorder="1" applyAlignment="1">
      <x:alignment horizontal="general" vertical="top" wrapText="1"/>
    </x:xf>
    <x:xf numFmtId="164" fontId="16" fillId="8" borderId="2" xfId="0" applyNumberFormat="1" applyFont="1" applyFill="1" applyBorder="1" applyAlignment="1">
      <x:alignment horizontal="general" vertical="center" wrapText="1"/>
    </x:xf>
    <x:xf numFmtId="164" fontId="17" fillId="9" borderId="2" xfId="0" applyNumberFormat="1" applyFont="1" applyFill="1" applyBorder="1" applyAlignment="1">
      <x:alignment horizontal="general" vertical="top" wrapText="1"/>
    </x:xf>
    <x:xf numFmtId="164" fontId="19" fillId="9" borderId="2" xfId="0" applyNumberFormat="1" applyFont="1" applyFill="1" applyBorder="1" applyAlignment="1">
      <x:alignment horizontal="general" vertical="top" wrapText="1"/>
    </x:xf>
    <x:xf numFmtId="164" fontId="19" fillId="9" borderId="2" xfId="0" applyNumberFormat="1" applyFont="1" applyFill="1" applyBorder="1" applyAlignment="1">
      <x:alignment horizontal="general" vertical="center" wrapText="1"/>
    </x:xf>
    <x:xf numFmtId="164" fontId="20" fillId="9" borderId="2" xfId="0" applyNumberFormat="1" applyFont="1" applyFill="1" applyBorder="1" applyAlignment="1">
      <x:alignment horizontal="general" vertical="top" wrapText="1"/>
    </x:xf>
    <x:xf numFmtId="164" fontId="20" fillId="9" borderId="2" xfId="0" applyNumberFormat="1" applyFont="1" applyFill="1" applyBorder="1" applyAlignment="1">
      <x:alignment horizontal="general" vertical="center" wrapText="1"/>
    </x:xf>
    <x:xf numFmtId="164" fontId="21" fillId="8" borderId="2" xfId="0" applyNumberFormat="1" applyFont="1" applyFill="1" applyBorder="1" applyAlignment="1">
      <x:alignment horizontal="general" vertical="top" wrapText="1"/>
    </x:xf>
    <x:xf numFmtId="164" fontId="21" fillId="8" borderId="2" xfId="0" applyNumberFormat="1" applyFont="1" applyFill="1" applyBorder="1" applyAlignment="1">
      <x:alignment horizontal="general" vertical="center" wrapText="1"/>
    </x:xf>
    <x:xf numFmtId="164" fontId="17" fillId="10" borderId="2" xfId="0" applyNumberFormat="1" applyFont="1" applyFill="1" applyBorder="1" applyAlignment="1">
      <x:alignment horizontal="general" vertical="top" wrapText="1"/>
    </x:xf>
    <x:xf numFmtId="164" fontId="17" fillId="10" borderId="3" xfId="0" applyNumberFormat="1" applyFont="1" applyFill="1" applyBorder="1" applyAlignment="1">
      <x:alignment horizontal="general" vertical="top" wrapText="1"/>
    </x:xf>
    <x:xf numFmtId="164" fontId="16" fillId="8" borderId="1" xfId="0" applyNumberFormat="1" applyFont="1" applyFill="1" applyBorder="1" applyAlignment="1">
      <x:alignment horizontal="center" vertical="center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2" fillId="11" borderId="0" xfId="0" applyNumberFormat="1" applyFont="1" applyFill="1" applyBorder="1" applyAlignment="1">
      <x:alignment horizontal="general" vertical="bottom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3" fillId="12" borderId="0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center" wrapText="0"/>
    </x:xf>
    <x:xf numFmtId="164" fontId="0" fillId="11" borderId="0" xfId="0" applyNumberFormat="1" applyFont="1" applyFill="1" applyBorder="1" applyAlignment="1">
      <x:alignment horizontal="general" vertical="center" wrapText="1"/>
    </x:xf>
    <x:xf numFmtId="164" fontId="21" fillId="11" borderId="0" xfId="0" applyNumberFormat="1" applyFont="1" applyFill="1" applyBorder="1" applyAlignment="1">
      <x:alignment horizontal="general" vertical="center" wrapText="1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center" wrapText="0"/>
    </x:xf>
    <x:xf numFmtId="164" fontId="0" fillId="13" borderId="0" xfId="0" applyNumberFormat="1" applyFont="1" applyFill="1" applyBorder="1" applyAlignment="1">
      <x:alignment horizontal="general" vertical="center" wrapText="1"/>
    </x:xf>
    <x:xf numFmtId="164" fontId="21" fillId="13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24" fillId="0" borderId="0" xfId="0" applyNumberFormat="1" applyFont="1" applyFill="1" applyBorder="1" applyAlignment="1">
      <x:alignment horizontal="general" vertical="center" wrapText="1"/>
    </x:xf>
    <x:xf numFmtId="164" fontId="25" fillId="0" borderId="0" xfId="0" applyNumberFormat="1" applyFont="1" applyFill="1" applyBorder="1" applyAlignment="1">
      <x:alignment horizontal="general" vertical="center" wrapText="1"/>
    </x:xf>
    <x:xf numFmtId="164" fontId="25" fillId="0" borderId="4" xfId="0" applyNumberFormat="1" applyFont="1" applyFill="1" applyBorder="1" applyAlignment="1">
      <x:alignment horizontal="general" vertical="center" wrapText="1"/>
    </x:xf>
    <x:xf numFmtId="164" fontId="24" fillId="0" borderId="4" xfId="0" applyNumberFormat="1" applyFont="1" applyFill="1" applyBorder="1" applyAlignment="1">
      <x:alignment horizontal="general" vertical="center" wrapText="1"/>
    </x:xf>
    <x:xf numFmtId="164" fontId="25" fillId="0" borderId="5" xfId="0" applyNumberFormat="1" applyFont="1" applyFill="1" applyBorder="1" applyAlignment="1">
      <x:alignment horizontal="general" vertical="center" wrapText="1"/>
    </x:xf>
    <x:xf numFmtId="164" fontId="24" fillId="0" borderId="5" xfId="0" applyNumberFormat="1" applyFont="1" applyFill="1" applyBorder="1" applyAlignment="1">
      <x:alignment horizontal="general" vertical="center" wrapText="1"/>
    </x:xf>
    <x:xf numFmtId="164" fontId="25" fillId="0" borderId="6" xfId="0" applyNumberFormat="1" applyFont="1" applyFill="1" applyBorder="1" applyAlignment="1">
      <x:alignment horizontal="general" vertical="center" wrapText="1"/>
    </x:xf>
    <x:xf numFmtId="164" fontId="24" fillId="0" borderId="6" xfId="0" applyNumberFormat="1" applyFont="1" applyFill="1" applyBorder="1" applyAlignment="1">
      <x:alignment horizontal="general" vertical="center" wrapText="1"/>
    </x:xf>
    <x:xf numFmtId="164" fontId="25" fillId="14" borderId="4" xfId="0" applyNumberFormat="1" applyFont="1" applyFill="1" applyBorder="1" applyAlignment="1">
      <x:alignment horizontal="general" vertical="center" wrapText="1"/>
    </x:xf>
    <x:xf numFmtId="164" fontId="24" fillId="14" borderId="4" xfId="0" applyNumberFormat="1" applyFont="1" applyFill="1" applyBorder="1" applyAlignment="1">
      <x:alignment horizontal="general" vertical="center" wrapText="1"/>
    </x:xf>
    <x:xf numFmtId="164" fontId="25" fillId="14" borderId="5" xfId="0" applyNumberFormat="1" applyFont="1" applyFill="1" applyBorder="1" applyAlignment="1">
      <x:alignment horizontal="general" vertical="center" wrapText="1"/>
    </x:xf>
    <x:xf numFmtId="164" fontId="24" fillId="14" borderId="5" xfId="0" applyNumberFormat="1" applyFont="1" applyFill="1" applyBorder="1" applyAlignment="1">
      <x:alignment horizontal="general" vertical="center" wrapText="1"/>
    </x:xf>
    <x:xf numFmtId="164" fontId="25" fillId="12" borderId="5" xfId="0" applyNumberFormat="1" applyFont="1" applyFill="1" applyBorder="1" applyAlignment="1">
      <x:alignment horizontal="general" vertical="center" wrapText="1"/>
    </x:xf>
    <x:xf numFmtId="164" fontId="24" fillId="12" borderId="5" xfId="0" applyNumberFormat="1" applyFont="1" applyFill="1" applyBorder="1" applyAlignment="1">
      <x:alignment horizontal="general" vertical="center" wrapText="1"/>
    </x:xf>
    <x:xf numFmtId="164" fontId="25" fillId="15" borderId="6" xfId="0" applyNumberFormat="1" applyFont="1" applyFill="1" applyBorder="1" applyAlignment="1">
      <x:alignment horizontal="general" vertical="center" wrapText="1"/>
    </x:xf>
    <x:xf numFmtId="164" fontId="24" fillId="15" borderId="6" xfId="0" applyNumberFormat="1" applyFont="1" applyFill="1" applyBorder="1" applyAlignment="1">
      <x:alignment horizontal="general" vertical="center" wrapText="1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1"/>
    </x:xf>
    <x:xf numFmtId="164" fontId="0" fillId="15" borderId="0" xfId="0" applyNumberFormat="1" applyFont="1" applyFill="1" applyBorder="1" applyAlignment="1">
      <x:alignment horizontal="general" vertical="center" wrapText="1"/>
    </x:xf>
    <x:xf numFmtId="164" fontId="26" fillId="15" borderId="0" xfId="0" applyNumberFormat="1" applyFont="1" applyFill="1" applyBorder="1" applyAlignment="1">
      <x:alignment horizontal="general" vertical="center" wrapText="1"/>
    </x:xf>
    <x:xf numFmtId="164" fontId="27" fillId="15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4" xfId="0" applyNumberFormat="1" applyFont="1" applyFill="1" applyBorder="1" applyAlignment="1">
      <x:alignment horizontal="general" vertical="top" wrapText="1"/>
    </x:xf>
    <x:xf numFmtId="164" fontId="0" fillId="0" borderId="5" xfId="0" applyNumberFormat="1" applyFont="1" applyFill="1" applyBorder="1" applyAlignment="1">
      <x:alignment horizontal="general" vertical="top" wrapText="1"/>
    </x:xf>
    <x:xf numFmtId="164" fontId="0" fillId="0" borderId="6" xfId="0" applyNumberFormat="1" applyFont="1" applyFill="1" applyBorder="1" applyAlignment="1">
      <x:alignment horizontal="general" vertical="top" wrapText="1"/>
    </x:xf>
    <x:xf numFmtId="164" fontId="24" fillId="0" borderId="4" xfId="0" applyNumberFormat="1" applyFont="1" applyFill="1" applyBorder="1" applyAlignment="1">
      <x:alignment horizontal="general" vertical="top" wrapText="1"/>
    </x:xf>
    <x:xf numFmtId="164" fontId="24" fillId="0" borderId="5" xfId="0" applyNumberFormat="1" applyFont="1" applyFill="1" applyBorder="1" applyAlignment="1">
      <x:alignment horizontal="general" vertical="top" wrapText="1"/>
    </x:xf>
    <x:xf numFmtId="164" fontId="24" fillId="0" borderId="6" xfId="0" applyNumberFormat="1" applyFont="1" applyFill="1" applyBorder="1" applyAlignment="1">
      <x:alignment horizontal="general" vertical="top" wrapText="1"/>
    </x:xf>
    <x:xf numFmtId="164" fontId="28" fillId="0" borderId="4" xfId="0" applyNumberFormat="1" applyFont="1" applyFill="1" applyBorder="1" applyAlignment="1">
      <x:alignment horizontal="general" vertical="top" wrapText="1"/>
    </x:xf>
    <x:xf numFmtId="164" fontId="28" fillId="0" borderId="5" xfId="0" applyNumberFormat="1" applyFont="1" applyFill="1" applyBorder="1" applyAlignment="1">
      <x:alignment horizontal="general" vertical="top" wrapText="1"/>
    </x:xf>
    <x:xf numFmtId="164" fontId="28" fillId="0" borderId="6" xfId="0" applyNumberFormat="1" applyFont="1" applyFill="1" applyBorder="1" applyAlignment="1">
      <x:alignment horizontal="general" vertical="top" wrapText="1"/>
    </x:xf>
    <x:xf numFmtId="164" fontId="28" fillId="11" borderId="4" xfId="0" applyNumberFormat="1" applyFont="1" applyFill="1" applyBorder="1" applyAlignment="1">
      <x:alignment horizontal="general" vertical="top" wrapText="1"/>
    </x:xf>
    <x:xf numFmtId="164" fontId="24" fillId="11" borderId="4" xfId="0" applyNumberFormat="1" applyFont="1" applyFill="1" applyBorder="1" applyAlignment="1">
      <x:alignment horizontal="general" vertical="top" wrapText="1"/>
    </x:xf>
    <x:xf numFmtId="164" fontId="28" fillId="11" borderId="4" xfId="0" applyNumberFormat="1" applyFont="1" applyFill="1" applyBorder="1" applyAlignment="1">
      <x:alignment horizontal="general" vertical="center" wrapText="1"/>
    </x:xf>
    <x:xf numFmtId="164" fontId="24" fillId="11" borderId="4" xfId="0" applyNumberFormat="1" applyFont="1" applyFill="1" applyBorder="1" applyAlignment="1">
      <x:alignment horizontal="general" vertical="center" wrapText="1"/>
    </x:xf>
    <x:xf numFmtId="164" fontId="29" fillId="11" borderId="4" xfId="0" applyNumberFormat="1" applyFont="1" applyFill="1" applyBorder="1" applyAlignment="1">
      <x:alignment horizontal="general" vertical="center" wrapText="1"/>
    </x:xf>
    <x:xf numFmtId="164" fontId="28" fillId="12" borderId="5" xfId="0" applyNumberFormat="1" applyFont="1" applyFill="1" applyBorder="1" applyAlignment="1">
      <x:alignment horizontal="general" vertical="top" wrapText="1"/>
    </x:xf>
    <x:xf numFmtId="164" fontId="24" fillId="12" borderId="5" xfId="0" applyNumberFormat="1" applyFont="1" applyFill="1" applyBorder="1" applyAlignment="1">
      <x:alignment horizontal="general" vertical="top" wrapText="1"/>
    </x:xf>
    <x:xf numFmtId="164" fontId="28" fillId="12" borderId="5" xfId="0" applyNumberFormat="1" applyFont="1" applyFill="1" applyBorder="1" applyAlignment="1">
      <x:alignment horizontal="general" vertical="center" wrapText="1"/>
    </x:xf>
    <x:xf numFmtId="164" fontId="30" fillId="12" borderId="5" xfId="0" applyNumberFormat="1" applyFont="1" applyFill="1" applyBorder="1" applyAlignment="1">
      <x:alignment horizontal="general" vertical="center" wrapText="1"/>
    </x:xf>
    <x:xf numFmtId="164" fontId="28" fillId="11" borderId="5" xfId="0" applyNumberFormat="1" applyFont="1" applyFill="1" applyBorder="1" applyAlignment="1">
      <x:alignment horizontal="general" vertical="top" wrapText="1"/>
    </x:xf>
    <x:xf numFmtId="164" fontId="24" fillId="11" borderId="5" xfId="0" applyNumberFormat="1" applyFont="1" applyFill="1" applyBorder="1" applyAlignment="1">
      <x:alignment horizontal="general" vertical="top" wrapText="1"/>
    </x:xf>
    <x:xf numFmtId="164" fontId="28" fillId="11" borderId="5" xfId="0" applyNumberFormat="1" applyFont="1" applyFill="1" applyBorder="1" applyAlignment="1">
      <x:alignment horizontal="general" vertical="center" wrapText="1"/>
    </x:xf>
    <x:xf numFmtId="164" fontId="24" fillId="11" borderId="5" xfId="0" applyNumberFormat="1" applyFont="1" applyFill="1" applyBorder="1" applyAlignment="1">
      <x:alignment horizontal="general" vertical="center" wrapText="1"/>
    </x:xf>
    <x:xf numFmtId="164" fontId="29" fillId="11" borderId="5" xfId="0" applyNumberFormat="1" applyFont="1" applyFill="1" applyBorder="1" applyAlignment="1">
      <x:alignment horizontal="general" vertical="center" wrapText="1"/>
    </x:xf>
    <x:xf numFmtId="164" fontId="28" fillId="16" borderId="5" xfId="0" applyNumberFormat="1" applyFont="1" applyFill="1" applyBorder="1" applyAlignment="1">
      <x:alignment horizontal="general" vertical="top" wrapText="1"/>
    </x:xf>
    <x:xf numFmtId="164" fontId="24" fillId="16" borderId="5" xfId="0" applyNumberFormat="1" applyFont="1" applyFill="1" applyBorder="1" applyAlignment="1">
      <x:alignment horizontal="general" vertical="top" wrapText="1"/>
    </x:xf>
    <x:xf numFmtId="164" fontId="28" fillId="16" borderId="5" xfId="0" applyNumberFormat="1" applyFont="1" applyFill="1" applyBorder="1" applyAlignment="1">
      <x:alignment horizontal="general" vertical="center" wrapText="1"/>
    </x:xf>
    <x:xf numFmtId="164" fontId="24" fillId="16" borderId="5" xfId="0" applyNumberFormat="1" applyFont="1" applyFill="1" applyBorder="1" applyAlignment="1">
      <x:alignment horizontal="general" vertical="center" wrapText="1"/>
    </x:xf>
    <x:xf numFmtId="164" fontId="31" fillId="16" borderId="5" xfId="0" applyNumberFormat="1" applyFont="1" applyFill="1" applyBorder="1" applyAlignment="1">
      <x:alignment horizontal="general" vertical="center" wrapText="1"/>
    </x:xf>
    <x:xf numFmtId="164" fontId="28" fillId="15" borderId="5" xfId="0" applyNumberFormat="1" applyFont="1" applyFill="1" applyBorder="1" applyAlignment="1">
      <x:alignment horizontal="general" vertical="top" wrapText="1"/>
    </x:xf>
    <x:xf numFmtId="164" fontId="32" fillId="16" borderId="5" xfId="0" applyNumberFormat="1" applyFont="1" applyFill="1" applyBorder="1" applyAlignment="1">
      <x:alignment horizontal="general" vertical="top" wrapText="1"/>
    </x:xf>
    <x:xf numFmtId="164" fontId="28" fillId="14" borderId="5" xfId="0" applyNumberFormat="1" applyFont="1" applyFill="1" applyBorder="1" applyAlignment="1">
      <x:alignment horizontal="general" vertical="top" wrapText="1"/>
    </x:xf>
    <x:xf numFmtId="164" fontId="28" fillId="14" borderId="6" xfId="0" applyNumberFormat="1" applyFont="1" applyFill="1" applyBorder="1" applyAlignment="1">
      <x:alignment horizontal="general" vertical="top" wrapText="1"/>
    </x:xf>
    <x:xf numFmtId="164" fontId="33" fillId="11" borderId="0" xfId="0" applyNumberFormat="1" applyFont="1" applyFill="1" applyBorder="1" applyAlignment="1">
      <x:alignment horizontal="general" vertical="center" wrapText="1"/>
    </x:xf>
    <x:xf numFmtId="164" fontId="27" fillId="0" borderId="4" xfId="0" applyNumberFormat="1" applyFont="1" applyFill="1" applyBorder="1" applyAlignment="1">
      <x:alignment horizontal="general" vertical="top" wrapText="1"/>
    </x:xf>
    <x:xf numFmtId="164" fontId="27" fillId="0" borderId="5" xfId="0" applyNumberFormat="1" applyFont="1" applyFill="1" applyBorder="1" applyAlignment="1">
      <x:alignment horizontal="general" vertical="top" wrapText="1"/>
    </x:xf>
    <x:xf numFmtId="164" fontId="27" fillId="0" borderId="6" xfId="0" applyNumberFormat="1" applyFont="1" applyFill="1" applyBorder="1" applyAlignment="1">
      <x:alignment horizontal="general" vertical="top" wrapText="1"/>
    </x:xf>
    <x:xf numFmtId="164" fontId="23" fillId="0" borderId="4" xfId="0" applyNumberFormat="1" applyFont="1" applyFill="1" applyBorder="1" applyAlignment="1">
      <x:alignment horizontal="general" vertical="top" wrapText="1"/>
    </x:xf>
    <x:xf numFmtId="164" fontId="23" fillId="0" borderId="5" xfId="0" applyNumberFormat="1" applyFont="1" applyFill="1" applyBorder="1" applyAlignment="1">
      <x:alignment horizontal="general" vertical="top" wrapText="1"/>
    </x:xf>
    <x:xf numFmtId="164" fontId="23" fillId="0" borderId="6" xfId="0" applyNumberFormat="1" applyFont="1" applyFill="1" applyBorder="1" applyAlignment="1">
      <x:alignment horizontal="general" vertical="top" wrapText="1"/>
    </x:xf>
    <x:xf numFmtId="164" fontId="27" fillId="11" borderId="4" xfId="0" applyNumberFormat="1" applyFont="1" applyFill="1" applyBorder="1" applyAlignment="1">
      <x:alignment horizontal="general" vertical="top" wrapText="1"/>
    </x:xf>
    <x:xf numFmtId="164" fontId="23" fillId="11" borderId="4" xfId="0" applyNumberFormat="1" applyFont="1" applyFill="1" applyBorder="1" applyAlignment="1">
      <x:alignment horizontal="general" vertical="top" wrapText="1"/>
    </x:xf>
    <x:xf numFmtId="164" fontId="27" fillId="11" borderId="4" xfId="0" applyNumberFormat="1" applyFont="1" applyFill="1" applyBorder="1" applyAlignment="1">
      <x:alignment horizontal="general" vertical="center" wrapText="1"/>
    </x:xf>
    <x:xf numFmtId="164" fontId="23" fillId="11" borderId="4" xfId="0" applyNumberFormat="1" applyFont="1" applyFill="1" applyBorder="1" applyAlignment="1">
      <x:alignment horizontal="general" vertical="center" wrapText="1"/>
    </x:xf>
    <x:xf numFmtId="164" fontId="21" fillId="11" borderId="4" xfId="0" applyNumberFormat="1" applyFont="1" applyFill="1" applyBorder="1" applyAlignment="1">
      <x:alignment horizontal="general" vertical="center" wrapText="1"/>
    </x:xf>
    <x:xf numFmtId="164" fontId="27" fillId="11" borderId="5" xfId="0" applyNumberFormat="1" applyFont="1" applyFill="1" applyBorder="1" applyAlignment="1">
      <x:alignment horizontal="general" vertical="top" wrapText="1"/>
    </x:xf>
    <x:xf numFmtId="164" fontId="23" fillId="11" borderId="5" xfId="0" applyNumberFormat="1" applyFont="1" applyFill="1" applyBorder="1" applyAlignment="1">
      <x:alignment horizontal="general" vertical="top" wrapText="1"/>
    </x:xf>
    <x:xf numFmtId="164" fontId="27" fillId="11" borderId="5" xfId="0" applyNumberFormat="1" applyFont="1" applyFill="1" applyBorder="1" applyAlignment="1">
      <x:alignment horizontal="general" vertical="center" wrapText="1"/>
    </x:xf>
    <x:xf numFmtId="164" fontId="23" fillId="11" borderId="5" xfId="0" applyNumberFormat="1" applyFont="1" applyFill="1" applyBorder="1" applyAlignment="1">
      <x:alignment horizontal="general" vertical="center" wrapText="1"/>
    </x:xf>
    <x:xf numFmtId="164" fontId="21" fillId="11" borderId="5" xfId="0" applyNumberFormat="1" applyFont="1" applyFill="1" applyBorder="1" applyAlignment="1">
      <x:alignment horizontal="general" vertical="center" wrapText="1"/>
    </x:xf>
    <x:xf numFmtId="164" fontId="27" fillId="15" borderId="5" xfId="0" applyNumberFormat="1" applyFont="1" applyFill="1" applyBorder="1" applyAlignment="1">
      <x:alignment horizontal="general" vertical="top" wrapText="1"/>
    </x:xf>
    <x:xf numFmtId="164" fontId="27" fillId="16" borderId="5" xfId="0" applyNumberFormat="1" applyFont="1" applyFill="1" applyBorder="1" applyAlignment="1">
      <x:alignment horizontal="general" vertical="top" wrapText="1"/>
    </x:xf>
    <x:xf numFmtId="164" fontId="23" fillId="16" borderId="5" xfId="0" applyNumberFormat="1" applyFont="1" applyFill="1" applyBorder="1" applyAlignment="1">
      <x:alignment horizontal="general" vertical="top" wrapText="1"/>
    </x:xf>
  </x:cellXfs>
  <x:cellStyles count="25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[0]" xfId="23"/>
    <x:cellStyle name="Comma [0] 2" xfId="24"/>
    <x:cellStyle name="Comma [0] 3" xfId="25"/>
    <x:cellStyle name="Currency" xfId="26"/>
    <x:cellStyle name="Currency 3" xfId="27"/>
    <x:cellStyle name="Currency 4" xfId="28"/>
    <x:cellStyle name="Currency [0]" xfId="29"/>
    <x:cellStyle name="Currency [0] 4" xfId="30"/>
    <x:cellStyle name="Currency [0] 5" xfId="31"/>
    <x:cellStyle name="Normal" xfId="32"/>
    <x:cellStyle name="Normal 1" xfId="33"/>
    <x:cellStyle name="Normal 5" xfId="34"/>
    <x:cellStyle name="Normal 6" xfId="35"/>
    <x:cellStyle name="Percent" xfId="36"/>
    <x:cellStyle name="Percent 6" xfId="37"/>
    <x:cellStyle name="Percent 7" xfId="38"/>
  </x:cellStyles>
  <x:dxfs count="15">
    <x:dxf>
      <x:font>
        <x:color rgb="FF8B94A3"/>
        <x:name val="Arial"/>
        <x:family val="2"/>
      </x:font>
      <x:fill>
        <x:patternFill>
          <x:bgColor rgb="FFF0F2F5"/>
        </x:patternFill>
      </x:fill>
    </x:dxf>
    <x:dxf>
      <x:font>
        <x:color rgb="FF8B94A3"/>
        <x:name val="Arial"/>
        <x:family val="2"/>
      </x:font>
      <x:fill>
        <x:patternFill>
          <x:bgColor rgb="FFF0F2F5"/>
        </x:patternFill>
      </x:fill>
    </x:dxf>
    <x:dxf>
      <x:font>
        <x:color rgb="FF8B94A3"/>
        <x:name val="Arial"/>
        <x:family val="2"/>
      </x:font>
      <x:fill>
        <x:patternFill>
          <x:bgColor rgb="FFF0F2F5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  <x:dxf>
      <x:font>
        <x:b/>
        <x:color rgb="FFA32020"/>
        <x:name val="Arial"/>
        <x:family val="2"/>
      </x:font>
      <x:fill>
        <x:patternFill>
          <x:bgColor rgb="FFFBE4E4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65200"/>
      <x:rgbColor rgb="FF800080"/>
      <x:rgbColor rgb="FF008080"/>
      <x:rgbColor rgb="FFC0C0C0"/>
      <x:rgbColor rgb="FF8795AA"/>
      <x:rgbColor rgb="FF9999FF"/>
      <x:rgbColor rgb="FF993366"/>
      <x:rgbColor rgb="FFFFF1C2"/>
      <x:rgbColor rgb="FFEAF0F8"/>
      <x:rgbColor rgb="FF660066"/>
      <x:rgbColor rgb="FFFF8080"/>
      <x:rgbColor rgb="FF0066CC"/>
      <x:rgbColor rgb="FFD5E1F1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0F2F5"/>
      <x:rgbColor rgb="FFF5F8FC"/>
      <x:rgbColor rgb="FFF6F8FB"/>
      <x:rgbColor rgb="FF99CCFF"/>
      <x:rgbColor rgb="FFFF99CC"/>
      <x:rgbColor rgb="FFCC99FF"/>
      <x:rgbColor rgb="FFFBE4E4"/>
      <x:rgbColor rgb="FF3366FF"/>
      <x:rgbColor rgb="FF33CCCC"/>
      <x:rgbColor rgb="FF99CC00"/>
      <x:rgbColor rgb="FFFFCC00"/>
      <x:rgbColor rgb="FFFF9900"/>
      <x:rgbColor rgb="FFFF6600"/>
      <x:rgbColor rgb="FF53647B"/>
      <x:rgbColor rgb="FF8B94A3"/>
      <x:rgbColor rgb="FF172B4D"/>
      <x:rgbColor rgb="FF51627A"/>
      <x:rgbColor rgb="FF003300"/>
      <x:rgbColor rgb="FF333300"/>
      <x:rgbColor rgb="FFA32020"/>
      <x:rgbColor rgb="FF993366"/>
      <x:rgbColor rgb="FF294C7A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a446be0e846df" /><Relationship Type="http://schemas.openxmlformats.org/officeDocument/2006/relationships/theme" Target="/xl/theme/theme1.xml" Id="R01b507ce029940cb" /><Relationship Type="http://schemas.openxmlformats.org/officeDocument/2006/relationships/sharedStrings" Target="/xl/sharedStrings.xml" Id="R8059523d2f3c4380" /><Relationship Type="http://schemas.openxmlformats.org/officeDocument/2006/relationships/worksheet" Target="/xl/worksheets/sheet1.xml" Id="Rebba4effc33b44e2" /><Relationship Type="http://schemas.openxmlformats.org/officeDocument/2006/relationships/worksheet" Target="/xl/worksheets/sheet2.xml" Id="R7b8437c396624326" /><Relationship Type="http://schemas.openxmlformats.org/officeDocument/2006/relationships/worksheet" Target="/xl/worksheets/sheet3.xml" Id="R3b744d2df15141de" /><Relationship Type="http://schemas.openxmlformats.org/officeDocument/2006/relationships/worksheet" Target="/xl/worksheets/sheet4.xml" Id="Rb6196071fd8a4433" /><Relationship Type="http://schemas.openxmlformats.org/officeDocument/2006/relationships/worksheet" Target="/xl/worksheets/sheet5.xml" Id="R49978bcab88046c2" /><Relationship Type="http://schemas.microsoft.com/office/2017/10/relationships/person" Target="/xl/persons/person.xml" Id="R3c44a055d1984d95" /></Relationships>
</file>

<file path=xl/persons/person.xml><?xml version="1.0" encoding="utf-8"?>
<xltc:personList xmlns:xltc="http://schemas.microsoft.com/office/spreadsheetml/2018/threadedcomments">
  <xltc:person displayName="Unknown Author" id="{4944583D-47F4-7258-4194-75B0EF8C41FD}"/>
</xltc: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0ff4337cbdf4a37" /><Relationship Type="http://schemas.openxmlformats.org/officeDocument/2006/relationships/vmlDrawing" Target="/xl/drawings/vmldrawing.vml" Id="Ra3e7dc43c0aa4f6f" /></Relationships>
</file>

<file path=xl/worksheets/sheet1.xml><?xml version="1.0" encoding="utf-8"?>
<x:worksheet xmlns:x="http://schemas.openxmlformats.org/spreadsheetml/2006/main">
  <x:sheetPr>
    <x:tabColor rgb="FF294C7A"/>
  </x:sheetPr>
  <x:sheetViews>
    <x:sheetView showGridLines="1" workbookViewId="0"/>
  </x:sheetViews>
  <x:sheetFormatPr defaultColWidth="11.53515625" defaultRowHeight="12.800000190734863"/>
  <x:cols>
    <x:col min="1" max="1" width="3" style="1" hidden="0" customWidth="1"/>
    <x:col min="2" max="2" width="25" style="1" hidden="0" customWidth="1"/>
    <x:col min="3" max="3" width="17" style="1" hidden="0" customWidth="1"/>
    <x:col min="4" max="5" width="12" style="1" hidden="0" customWidth="1"/>
    <x:col min="6" max="6" width="4" style="1" hidden="0" customWidth="1"/>
    <x:col min="7" max="10" width="15" style="1" hidden="0" customWidth="1"/>
    <x:col min="11" max="11" width="4" style="1" hidden="0" customWidth="1"/>
    <x:col min="12" max="12" width="3" style="1" hidden="0" customWidth="1"/>
    <x:col min="13" max="1024" width="8.680000305175781" style="1" hidden="0" customWidth="1"/>
  </x:cols>
  <x:sheetData>
    <x:row r="1" ht="23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hidden="0" customHeight="1">
      <x:c r="A2" s="2"/>
      <x:c r="B2" s="3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hidden="0" customHeight="1">
      <x:c r="A4" s="2"/>
      <x:c r="B4" s="4" t="s">
        <x:v>1</x:v>
      </x:c>
      <x:c r="C4" s="4"/>
      <x:c r="D4" s="4"/>
      <x:c r="E4" s="4"/>
      <x:c r="F4" s="2"/>
      <x:c r="G4" s="4" t="s">
        <x:v>2</x:v>
      </x:c>
      <x:c r="H4" s="4"/>
      <x:c r="I4" s="4"/>
      <x:c r="J4" s="4"/>
      <x:c r="K4" s="4"/>
      <x:c r="L4" s="2"/>
    </x:row>
    <x:row r="5" ht="23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5" hidden="0" customHeight="1">
      <x:c r="A6" s="2"/>
      <x:c r="B6" s="5" t="s">
        <x:v>3</x:v>
      </x:c>
      <x:c r="C6" s="5"/>
      <x:c r="D6" s="5"/>
      <x:c r="E6" s="5"/>
      <x:c r="F6" s="2"/>
      <x:c r="G6" s="5" t="s">
        <x:v>4</x:v>
      </x:c>
      <x:c r="H6" s="5"/>
      <x:c r="I6" s="5"/>
      <x:c r="J6" s="5"/>
      <x:c r="K6" s="5"/>
      <x:c r="L6" s="2"/>
    </x:row>
    <x:row r="7" ht="23" hidden="0" customHeight="1">
      <x:c r="A7" s="2"/>
      <x:c r="B7" s="6" t="s">
        <x:v>5</x:v>
      </x:c>
      <x:c r="C7" s="6" t="s">
        <x:v>6</x:v>
      </x:c>
      <x:c r="D7" s="6" t="s">
        <x:v>7</x:v>
      </x:c>
      <x:c r="E7" s="6" t="s">
        <x:v>8</x:v>
      </x:c>
      <x:c r="F7" s="2"/>
      <x:c r="G7" s="7" t="n">
        <x:f aca="0">IF(Matrizes!$C$107&lt;&gt;"OK","—",Matrizes!B67)</x:f>
        <x:v>1.0000000000000002</x:v>
      </x:c>
      <x:c r="H7" s="7" t="n">
        <x:f aca="0">IF(Matrizes!$C$107&lt;&gt;"OK","—",Matrizes!C67)</x:f>
        <x:v>-1.7320508075688772</x:v>
      </x:c>
      <x:c r="I7" s="7" t="n">
        <x:f aca="0">IF(Matrizes!$C$107&lt;&gt;"OK","—",Matrizes!D67)</x:f>
        <x:v>0</x:v>
      </x:c>
      <x:c r="J7" s="7" t="n">
        <x:f aca="0">IF(Matrizes!$C$107&lt;&gt;"OK","—",Matrizes!E67)</x:f>
        <x:v>5.196152422706631</x:v>
      </x:c>
      <x:c r="K7" s="2"/>
      <x:c r="L7" s="2"/>
    </x:row>
    <x:row r="8" ht="23" hidden="0" customHeight="1">
      <x:c r="A8" s="2"/>
      <x:c r="B8" s="2" t="s">
        <x:v>9</x:v>
      </x:c>
      <x:c r="C8" s="8" t="n">
        <x:v>-2.5</x:v>
      </x:c>
      <x:c r="D8" s="8" t="n">
        <x:v>-2.5</x:v>
      </x:c>
      <x:c r="E8" s="8" t="n">
        <x:v>2</x:v>
      </x:c>
      <x:c r="F8" s="2"/>
      <x:c r="G8" s="7" t="n">
        <x:f aca="0">IF(Matrizes!$C$107&lt;&gt;"OK","—",Matrizes!B68)</x:f>
        <x:v>1.7320508075688772</x:v>
      </x:c>
      <x:c r="H8" s="7" t="n">
        <x:f aca="0">IF(Matrizes!$C$107&lt;&gt;"OK","—",Matrizes!C68)</x:f>
        <x:v>1.0000000000000002</x:v>
      </x:c>
      <x:c r="I8" s="7" t="n">
        <x:f aca="0">IF(Matrizes!$C$107&lt;&gt;"OK","—",Matrizes!D68)</x:f>
        <x:v>0</x:v>
      </x:c>
      <x:c r="J8" s="7" t="n">
        <x:f aca="0">IF(Matrizes!$C$107&lt;&gt;"OK","—",Matrizes!E68)</x:f>
        <x:v>-0.5773502691896266</x:v>
      </x:c>
      <x:c r="K8" s="2"/>
      <x:c r="L8" s="2"/>
    </x:row>
    <x:row r="9" ht="23" hidden="0" customHeight="1">
      <x:c r="A9" s="2"/>
      <x:c r="B9" s="2" t="s">
        <x:v>10</x:v>
      </x:c>
      <x:c r="C9" s="8" t="n">
        <x:v>6</x:v>
      </x:c>
      <x:c r="D9" s="8" t="n">
        <x:v>9</x:v>
      </x:c>
      <x:c r="E9" s="8" t="n">
        <x:v>2</x:v>
      </x:c>
      <x:c r="F9" s="2"/>
      <x:c r="G9" s="7" t="n">
        <x:f aca="0">IF(Matrizes!$C$107&lt;&gt;"OK","—",Matrizes!B69)</x:f>
        <x:v>0</x:v>
      </x:c>
      <x:c r="H9" s="7" t="n">
        <x:f aca="0">IF(Matrizes!$C$107&lt;&gt;"OK","—",Matrizes!C69)</x:f>
        <x:v>0</x:v>
      </x:c>
      <x:c r="I9" s="7" t="n">
        <x:f aca="0">IF(Matrizes!$C$107&lt;&gt;"OK","—",Matrizes!D69)</x:f>
        <x:v>2</x:v>
      </x:c>
      <x:c r="J9" s="7" t="n">
        <x:f aca="0">IF(Matrizes!$C$107&lt;&gt;"OK","—",Matrizes!E69)</x:f>
        <x:v>-2</x:v>
      </x:c>
      <x:c r="K9" s="2"/>
      <x:c r="L9" s="2"/>
    </x:row>
    <x:row r="10" ht="23" hidden="0" customHeight="1">
      <x:c r="A10" s="2"/>
      <x:c r="B10" s="2" t="s">
        <x:v>11</x:v>
      </x:c>
      <x:c r="C10" s="8" t="n">
        <x:v>-2.5</x:v>
      </x:c>
      <x:c r="D10" s="8" t="n">
        <x:v>2.5</x:v>
      </x:c>
      <x:c r="E10" s="8" t="n">
        <x:v>2</x:v>
      </x:c>
      <x:c r="F10" s="2"/>
      <x:c r="G10" s="7" t="n">
        <x:f aca="0">IF(Matrizes!$C$107&lt;&gt;"OK","—",Matrizes!B70)</x:f>
        <x:v>0</x:v>
      </x:c>
      <x:c r="H10" s="7" t="n">
        <x:f aca="0">IF(Matrizes!$C$107&lt;&gt;"OK","—",Matrizes!C70)</x:f>
        <x:v>0</x:v>
      </x:c>
      <x:c r="I10" s="7" t="n">
        <x:f aca="0">IF(Matrizes!$C$107&lt;&gt;"OK","—",Matrizes!D70)</x:f>
        <x:v>0</x:v>
      </x:c>
      <x:c r="J10" s="7" t="n">
        <x:f aca="0">IF(Matrizes!$C$107&lt;&gt;"OK","—",Matrizes!E70)</x:f>
        <x:v>1</x:v>
      </x:c>
      <x:c r="K10" s="2"/>
      <x:c r="L10" s="2"/>
    </x:row>
    <x:row r="11" ht="23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hidden="0" customHeight="1">
      <x:c r="A12" s="2"/>
      <x:c r="B12" s="5" t="s">
        <x:v>12</x:v>
      </x:c>
      <x:c r="C12" s="5"/>
      <x:c r="D12" s="5"/>
      <x:c r="E12" s="5"/>
      <x:c r="F12" s="2"/>
      <x:c r="G12" s="5" t="s">
        <x:v>13</x:v>
      </x:c>
      <x:c r="H12" s="5"/>
      <x:c r="I12" s="5"/>
      <x:c r="J12" s="5"/>
      <x:c r="K12" s="5"/>
      <x:c r="L12" s="2"/>
    </x:row>
    <x:row r="13" ht="23" hidden="0" customHeight="1">
      <x:c r="A13" s="2"/>
      <x:c r="B13" s="2" t="s">
        <x:v>14</x:v>
      </x:c>
      <x:c r="C13" s="8" t="s">
        <x:v>15</x:v>
      </x:c>
      <x:c r="D13" s="2"/>
      <x:c r="E13" s="2"/>
      <x:c r="F13" s="2"/>
      <x:c r="G13" s="7" t="n">
        <x:f aca="0">IF(Matrizes!$C$107&lt;&gt;"OK","—",Matrizes!B101)</x:f>
        <x:v>-0.4561227304196532</x:v>
      </x:c>
      <x:c r="H13" s="7" t="n">
        <x:f aca="0">IF(Matrizes!$C$107&lt;&gt;"OK","—",Matrizes!C101)</x:f>
        <x:v>0.7900277435738814</x:v>
      </x:c>
      <x:c r="I13" s="7" t="n">
        <x:f aca="0">IF(Matrizes!$C$107&lt;&gt;"OK","—",Matrizes!D101)</x:f>
        <x:v>-2.4326545622381497</x:v>
      </x:c>
      <x:c r="J13" s="7" t="n">
        <x:f aca="0">IF(Matrizes!$C$107&lt;&gt;"OK","—",Matrizes!E101)</x:f>
        <x:v>2.6472668038945395</x:v>
      </x:c>
      <x:c r="K13" s="2"/>
      <x:c r="L13" s="2"/>
    </x:row>
    <x:row r="14" ht="23" hidden="0" customHeight="1">
      <x:c r="A14" s="2"/>
      <x:c r="B14" s="2" t="s">
        <x:v>16</x:v>
      </x:c>
      <x:c r="C14" s="8" t="n">
        <x:v>60</x:v>
      </x:c>
      <x:c r="D14" s="2"/>
      <x:c r="E14" s="2"/>
      <x:c r="F14" s="2"/>
      <x:c r="G14" s="7" t="n">
        <x:f aca="0">IF(Matrizes!$C$107&lt;&gt;"OK","—",Matrizes!B102)</x:f>
        <x:v>-1.3207949017870584</x:v>
      </x:c>
      <x:c r="H14" s="7" t="n">
        <x:f aca="0">IF(Matrizes!$C$107&lt;&gt;"OK","—",Matrizes!C102)</x:f>
        <x:v>2.9648239743170706</x:v>
      </x:c>
      <x:c r="I14" s="7" t="n">
        <x:f aca="0">IF(Matrizes!$C$107&lt;&gt;"OK","—",Matrizes!D102)</x:f>
        <x:v>1.2105038739004703</x:v>
      </x:c>
      <x:c r="J14" s="7" t="n">
        <x:f aca="0">IF(Matrizes!$C$107&lt;&gt;"OK","—",Matrizes!E102)</x:f>
        <x:v>-10.875214703489798</x:v>
      </x:c>
      <x:c r="K14" s="2"/>
      <x:c r="L14" s="2"/>
    </x:row>
    <x:row r="15" ht="23" hidden="0" customHeight="1">
      <x:c r="A15" s="2"/>
      <x:c r="B15" s="2" t="s">
        <x:v>17</x:v>
      </x:c>
      <x:c r="C15" s="8" t="s">
        <x:v>18</x:v>
      </x:c>
      <x:c r="D15" s="2"/>
      <x:c r="E15" s="2"/>
      <x:c r="F15" s="2"/>
      <x:c r="G15" s="7" t="n">
        <x:f aca="0">IF(Matrizes!$C$107&lt;&gt;"OK","—",Matrizes!B103)</x:f>
        <x:v>-1.9665447175690076</x:v>
      </x:c>
      <x:c r="H15" s="7" t="n">
        <x:f aca="0">IF(Matrizes!$C$107&lt;&gt;"OK","—",Matrizes!C103)</x:f>
        <x:v>-0.906431277497832</x:v>
      </x:c>
      <x:c r="I15" s="7" t="n">
        <x:f aca="0">IF(Matrizes!$C$107&lt;&gt;"OK","—",Matrizes!D103)</x:f>
        <x:v>0.07435494213247486</x:v>
      </x:c>
      <x:c r="J15" s="7" t="n">
        <x:f aca="0">IF(Matrizes!$C$107&lt;&gt;"OK","—",Matrizes!E103)</x:f>
        <x:v>32.710569286105596</x:v>
      </x:c>
      <x:c r="K15" s="2"/>
      <x:c r="L15" s="2"/>
    </x:row>
    <x:row r="16" ht="25" hidden="0" customHeight="1">
      <x:c r="A16" s="2"/>
      <x:c r="B16" s="4" t="s">
        <x:v>19</x:v>
      </x:c>
      <x:c r="C16" s="4"/>
      <x:c r="D16" s="4"/>
      <x:c r="E16" s="4"/>
      <x:c r="F16" s="2"/>
      <x:c r="G16" s="7" t="n">
        <x:f aca="0">IF(Matrizes!$C$107&lt;&gt;"OK","—",Matrizes!B104)</x:f>
        <x:v>-1.8152720469867765</x:v>
      </x:c>
      <x:c r="H16" s="7" t="n">
        <x:f aca="0">IF(Matrizes!$C$107&lt;&gt;"OK","—",Matrizes!C104)</x:f>
        <x:v>-0.8367057946133835</x:v>
      </x:c>
      <x:c r="I16" s="7" t="n">
        <x:f aca="0">IF(Matrizes!$C$107&lt;&gt;"OK","—",Matrizes!D104)</x:f>
        <x:v>0.06863533119920756</x:v>
      </x:c>
      <x:c r="J16" s="7" t="n">
        <x:f aca="0">IF(Matrizes!$C$107&lt;&gt;"OK","—",Matrizes!E104)</x:f>
        <x:v>32.11744857178979</x:v>
      </x:c>
      <x:c r="K16" s="2"/>
      <x:c r="L16" s="2"/>
    </x:row>
    <x:row r="17" ht="23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5" hidden="0" customHeight="1">
      <x:c r="A18" s="2"/>
      <x:c r="B18" s="5" t="s">
        <x:v>20</x:v>
      </x:c>
      <x:c r="C18" s="5"/>
      <x:c r="D18" s="5"/>
      <x:c r="E18" s="5"/>
      <x:c r="F18" s="2"/>
      <x:c r="G18" s="5" t="s">
        <x:v>21</x:v>
      </x:c>
      <x:c r="H18" s="5"/>
      <x:c r="I18" s="5"/>
      <x:c r="J18" s="5"/>
      <x:c r="K18" s="5"/>
      <x:c r="L18" s="2"/>
    </x:row>
    <x:row r="19" ht="23" hidden="0" customHeight="1">
      <x:c r="A19" s="2"/>
      <x:c r="B19" s="2" t="s">
        <x:v>22</x:v>
      </x:c>
      <x:c r="C19" s="8" t="n">
        <x:v>2</x:v>
      </x:c>
      <x:c r="D19" s="2"/>
      <x:c r="E19" s="2"/>
      <x:c r="F19" s="2"/>
      <x:c r="G19" s="6" t="s">
        <x:v>9</x:v>
      </x:c>
      <x:c r="H19" s="6" t="s">
        <x:v>10</x:v>
      </x:c>
      <x:c r="I19" s="6" t="s">
        <x:v>11</x:v>
      </x:c>
      <x:c r="J19" s="2"/>
      <x:c r="K19" s="2"/>
      <x:c r="L19" s="2"/>
    </x:row>
    <x:row r="20" ht="23" hidden="0" customHeight="1">
      <x:c r="A20" s="2"/>
      <x:c r="B20" s="2" t="s">
        <x:v>17</x:v>
      </x:c>
      <x:c r="C20" s="8" t="s">
        <x:v>18</x:v>
      </x:c>
      <x:c r="D20" s="2"/>
      <x:c r="E20" s="2"/>
      <x:c r="F20" s="2"/>
      <x:c r="G20" s="7" t="n">
        <x:f aca="0">IF(Matrizes!$C$107&lt;&gt;"OK","—",Matrizes!G67)</x:f>
        <x:v>7.026279441628823</x:v>
      </x:c>
      <x:c r="H20" s="7" t="n">
        <x:f aca="0">IF(Matrizes!$C$107&lt;&gt;"OK","—",Matrizes!H67)</x:f>
        <x:v>-4.392304845413261</x:v>
      </x:c>
      <x:c r="I20" s="7" t="n">
        <x:f aca="0">IF(Matrizes!$C$107&lt;&gt;"OK","—",Matrizes!I67)</x:f>
        <x:v>-1.6339745962155616</x:v>
      </x:c>
      <x:c r="J20" s="2" t="s">
        <x:v>6</x:v>
      </x:c>
      <x:c r="K20" s="2"/>
      <x:c r="L20" s="2"/>
    </x:row>
    <x:row r="21" ht="25" hidden="0" customHeight="1">
      <x:c r="A21" s="2"/>
      <x:c r="B21" s="4" t="s">
        <x:v>23</x:v>
      </x:c>
      <x:c r="C21" s="4"/>
      <x:c r="D21" s="4"/>
      <x:c r="E21" s="4"/>
      <x:c r="F21" s="2"/>
      <x:c r="G21" s="7" t="n">
        <x:f aca="0">IF(Matrizes!$C$107&lt;&gt;"OK","—",Matrizes!G68)</x:f>
        <x:v>-7.407477288111819</x:v>
      </x:c>
      <x:c r="H21" s="7" t="n">
        <x:f aca="0">IF(Matrizes!$C$107&lt;&gt;"OK","—",Matrizes!H68)</x:f>
        <x:v>18.814954576223638</x:v>
      </x:c>
      <x:c r="I21" s="7" t="n">
        <x:f aca="0">IF(Matrizes!$C$107&lt;&gt;"OK","—",Matrizes!I68)</x:f>
        <x:v>-2.407477288111819</x:v>
      </x:c>
      <x:c r="J21" s="2" t="s">
        <x:v>7</x:v>
      </x:c>
      <x:c r="K21" s="2"/>
      <x:c r="L21" s="2"/>
    </x:row>
    <x:row r="22" ht="23" hidden="0" customHeight="1">
      <x:c r="A22" s="2"/>
      <x:c r="B22" s="2"/>
      <x:c r="C22" s="2"/>
      <x:c r="D22" s="2"/>
      <x:c r="E22" s="2"/>
      <x:c r="F22" s="2"/>
      <x:c r="G22" s="7" t="n">
        <x:f aca="0">IF(Matrizes!$C$107&lt;&gt;"OK","—",Matrizes!G69)</x:f>
        <x:v>2</x:v>
      </x:c>
      <x:c r="H22" s="7" t="n">
        <x:f aca="0">IF(Matrizes!$C$107&lt;&gt;"OK","—",Matrizes!H69)</x:f>
        <x:v>2</x:v>
      </x:c>
      <x:c r="I22" s="7" t="n">
        <x:f aca="0">IF(Matrizes!$C$107&lt;&gt;"OK","—",Matrizes!I69)</x:f>
        <x:v>2</x:v>
      </x:c>
      <x:c r="J22" s="2" t="s">
        <x:v>8</x:v>
      </x:c>
      <x:c r="K22" s="2"/>
      <x:c r="L22" s="2"/>
    </x:row>
    <x:row r="23" ht="25" hidden="0" customHeight="1">
      <x:c r="A23" s="2"/>
      <x:c r="B23" s="5" t="s">
        <x:v>24</x:v>
      </x:c>
      <x:c r="C23" s="5"/>
      <x:c r="D23" s="5"/>
      <x:c r="E23" s="5"/>
      <x:c r="F23" s="2"/>
      <x:c r="G23" s="7" t="n">
        <x:f aca="0">IF(Matrizes!$C$107&lt;&gt;"OK","—",Matrizes!G70)</x:f>
        <x:v>1</x:v>
      </x:c>
      <x:c r="H23" s="7" t="n">
        <x:f aca="0">IF(Matrizes!$C$107&lt;&gt;"OK","—",Matrizes!H70)</x:f>
        <x:v>1</x:v>
      </x:c>
      <x:c r="I23" s="7" t="n">
        <x:f aca="0">IF(Matrizes!$C$107&lt;&gt;"OK","—",Matrizes!I70)</x:f>
        <x:v>1</x:v>
      </x:c>
      <x:c r="J23" s="2" t="s">
        <x:v>25</x:v>
      </x:c>
      <x:c r="K23" s="2"/>
      <x:c r="L23" s="2"/>
    </x:row>
    <x:row r="24" ht="23" hidden="0" customHeight="1">
      <x:c r="A24" s="2"/>
      <x:c r="B24" s="2"/>
      <x:c r="C24" s="6" t="s">
        <x:v>6</x:v>
      </x:c>
      <x:c r="D24" s="6" t="s">
        <x:v>7</x:v>
      </x:c>
      <x:c r="E24" s="6" t="s">
        <x:v>8</x:v>
      </x:c>
      <x:c r="F24" s="2"/>
      <x:c r="G24" s="2"/>
      <x:c r="H24" s="2"/>
      <x:c r="I24" s="2"/>
      <x:c r="J24" s="2"/>
      <x:c r="K24" s="2"/>
      <x:c r="L24" s="2"/>
    </x:row>
    <x:row r="25" ht="25" hidden="0" customHeight="1">
      <x:c r="A25" s="2"/>
      <x:c r="B25" s="2" t="s">
        <x:v>26</x:v>
      </x:c>
      <x:c r="C25" s="8" t="n">
        <x:v>0</x:v>
      </x:c>
      <x:c r="D25" s="8" t="n">
        <x:v>0</x:v>
      </x:c>
      <x:c r="E25" s="8" t="n">
        <x:v>0</x:v>
      </x:c>
      <x:c r="F25" s="2"/>
      <x:c r="G25" s="5" t="s">
        <x:v>27</x:v>
      </x:c>
      <x:c r="H25" s="5"/>
      <x:c r="I25" s="5"/>
      <x:c r="J25" s="5"/>
      <x:c r="K25" s="5"/>
      <x:c r="L25" s="2"/>
    </x:row>
    <x:row r="26" ht="25" hidden="0" customHeight="1">
      <x:c r="A26" s="2"/>
      <x:c r="B26" s="4" t="s">
        <x:v>28</x:v>
      </x:c>
      <x:c r="C26" s="4"/>
      <x:c r="D26" s="4"/>
      <x:c r="E26" s="4"/>
      <x:c r="F26" s="2"/>
      <x:c r="G26" s="6" t="s">
        <x:v>9</x:v>
      </x:c>
      <x:c r="H26" s="6" t="s">
        <x:v>10</x:v>
      </x:c>
      <x:c r="I26" s="6" t="s">
        <x:v>11</x:v>
      </x:c>
      <x:c r="J26" s="2"/>
      <x:c r="K26" s="2"/>
      <x:c r="L26" s="2"/>
    </x:row>
    <x:row r="27" ht="23" hidden="0" customHeight="1">
      <x:c r="A27" s="2"/>
      <x:c r="B27" s="2"/>
      <x:c r="C27" s="2"/>
      <x:c r="D27" s="2"/>
      <x:c r="E27" s="2"/>
      <x:c r="F27" s="2"/>
      <x:c r="G27" s="7" t="n">
        <x:f aca="0">IF(Matrizes!$C$107&lt;&gt;"OK","—",IF(Matrizes!G104=0,"W = 0",Matrizes!G101/IF(Matrizes!G104=0,1,Matrizes!G104)))</x:f>
        <x:v>-0.07850922580097434</x:v>
      </x:c>
      <x:c r="H27" s="7" t="n">
        <x:f aca="0">IF(Matrizes!$C$107&lt;&gt;"OK","—",IF(Matrizes!H104=0,"W = 0",Matrizes!H101/IF(Matrizes!H104=0,1,Matrizes!H104)))</x:f>
        <x:v>0.15582392203086545</x:v>
      </x:c>
      <x:c r="I27" s="7" t="n">
        <x:f aca="0">IF(Matrizes!$C$107&lt;&gt;"OK","—",IF(Matrizes!I104=0,"W = 0",Matrizes!I101/IF(Matrizes!I104=0,1,Matrizes!I104)))</x:f>
        <x:v>0.025858919827546973</x:v>
      </x:c>
      <x:c r="J27" s="2" t="s">
        <x:v>6</x:v>
      </x:c>
      <x:c r="K27" s="2"/>
      <x:c r="L27" s="2"/>
    </x:row>
    <x:row r="28" ht="25" hidden="0" customHeight="1">
      <x:c r="A28" s="2"/>
      <x:c r="B28" s="5" t="s">
        <x:v>29</x:v>
      </x:c>
      <x:c r="C28" s="5"/>
      <x:c r="D28" s="5"/>
      <x:c r="E28" s="5"/>
      <x:c r="F28" s="2"/>
      <x:c r="G28" s="7" t="n">
        <x:f aca="0">IF(Matrizes!$C$107&lt;&gt;"OK","—",IF(Matrizes!G104=0,"W = 0",Matrizes!G102/IF(Matrizes!G104=0,1,Matrizes!G104)))</x:f>
        <x:v>-0.3231165811101733</x:v>
      </x:c>
      <x:c r="H28" s="7" t="n">
        <x:f aca="0">IF(Matrizes!$C$107&lt;&gt;"OK","—",IF(Matrizes!H104=0,"W = 0",Matrizes!H102/IF(Matrizes!H104=0,1,Matrizes!H104)))</x:f>
        <x:v>0.7449314651710015</x:v>
      </x:c>
      <x:c r="I28" s="7" t="n">
        <x:f aca="0">IF(Matrizes!$C$107&lt;&gt;"OK","—",IF(Matrizes!I104=0,"W = 0",Matrizes!I102/IF(Matrizes!I104=0,1,Matrizes!I104)))</x:f>
        <x:v>0.06512294895700496</x:v>
      </x:c>
      <x:c r="J28" s="2" t="s">
        <x:v>7</x:v>
      </x:c>
      <x:c r="K28" s="2"/>
      <x:c r="L28" s="2"/>
    </x:row>
    <x:row r="29" ht="23" hidden="0" customHeight="1">
      <x:c r="A29" s="2"/>
      <x:c r="B29" s="2"/>
      <x:c r="C29" s="6" t="s">
        <x:v>6</x:v>
      </x:c>
      <x:c r="D29" s="6" t="s">
        <x:v>7</x:v>
      </x:c>
      <x:c r="E29" s="6" t="s">
        <x:v>8</x:v>
      </x:c>
      <x:c r="F29" s="2"/>
      <x:c r="G29" s="7" t="n">
        <x:f aca="0">IF(Matrizes!$C$107&lt;&gt;"OK","—",IF(Matrizes!G104=0,"W = 0",Matrizes!G103/IF(Matrizes!G104=0,1,Matrizes!G104)))</x:f>
        <x:v>1.0297560839065991</x:v>
      </x:c>
      <x:c r="H29" s="7" t="n">
        <x:f aca="0">IF(Matrizes!$C$107&lt;&gt;"OK","—",IF(Matrizes!H104=0,"W = 0",Matrizes!H103/IF(Matrizes!H104=0,1,Matrizes!H104)))</x:f>
        <x:v>0.9327244072357392</x:v>
      </x:c>
      <x:c r="I29" s="7" t="n">
        <x:f aca="0">IF(Matrizes!$C$107&lt;&gt;"OK","—",IF(Matrizes!I104=0,"W = 0",Matrizes!I103/IF(Matrizes!I104=0,1,Matrizes!I104)))</x:f>
        <x:v>1.0232968722368603</x:v>
      </x:c>
      <x:c r="J29" s="2" t="s">
        <x:v>8</x:v>
      </x:c>
      <x:c r="K29" s="2"/>
      <x:c r="L29" s="2"/>
    </x:row>
    <x:row r="30" ht="23" hidden="0" customHeight="1">
      <x:c r="A30" s="2"/>
      <x:c r="B30" s="2" t="s">
        <x:v>30</x:v>
      </x:c>
      <x:c r="C30" s="8" t="n">
        <x:v>3</x:v>
      </x:c>
      <x:c r="D30" s="8" t="n">
        <x:v>32</x:v>
      </x:c>
      <x:c r="E30" s="8" t="n">
        <x:v>1</x:v>
      </x:c>
      <x:c r="F30" s="2"/>
      <x:c r="G30" s="7" t="n">
        <x:f aca="0">IF(Matrizes!$C$107&lt;&gt;"OK","—",IF(Matrizes!G104=0,"W = 0",Matrizes!G104/IF(Matrizes!G104=0,1,Matrizes!G104)))</x:f>
        <x:v>1</x:v>
      </x:c>
      <x:c r="H30" s="7" t="n">
        <x:f aca="0">IF(Matrizes!$C$107&lt;&gt;"OK","—",IF(Matrizes!H104=0,"W = 0",Matrizes!H104/IF(Matrizes!H104=0,1,Matrizes!H104)))</x:f>
        <x:v>1</x:v>
      </x:c>
      <x:c r="I30" s="7" t="n">
        <x:f aca="0">IF(Matrizes!$C$107&lt;&gt;"OK","—",IF(Matrizes!I104=0,"W = 0",Matrizes!I104/IF(Matrizes!I104=0,1,Matrizes!I104)))</x:f>
        <x:v>1</x:v>
      </x:c>
      <x:c r="J30" s="2" t="s">
        <x:v>25</x:v>
      </x:c>
      <x:c r="K30" s="2"/>
      <x:c r="L30" s="2"/>
    </x:row>
    <x:row r="31" ht="23" hidden="0" customHeight="1">
      <x:c r="A31" s="2"/>
      <x:c r="B31" s="2" t="s">
        <x:v>31</x:v>
      </x:c>
      <x:c r="C31" s="8" t="s">
        <x:v>18</x:v>
      </x:c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hidden="0" customHeight="1">
      <x:c r="A32" s="2"/>
      <x:c r="B32" s="2" t="s">
        <x:v>32</x:v>
      </x:c>
      <x:c r="C32" s="8" t="n">
        <x:v>0</x:v>
      </x:c>
      <x:c r="D32" s="8" t="n">
        <x:v>0</x:v>
      </x:c>
      <x:c r="E32" s="8" t="n">
        <x:v>0</x:v>
      </x:c>
      <x:c r="F32" s="2"/>
      <x:c r="G32" s="2"/>
      <x:c r="H32" s="2"/>
      <x:c r="I32" s="2"/>
      <x:c r="J32" s="2"/>
      <x:c r="K32" s="2"/>
      <x:c r="L32" s="2"/>
    </x:row>
    <x:row r="33" ht="25" hidden="0" customHeight="1">
      <x:c r="A33" s="2"/>
      <x:c r="B33" s="2" t="s">
        <x:v>33</x:v>
      </x:c>
      <x:c r="C33" s="8" t="n">
        <x:v>0</x:v>
      </x:c>
      <x:c r="D33" s="8" t="n">
        <x:v>1</x:v>
      </x:c>
      <x:c r="E33" s="8" t="n">
        <x:v>0</x:v>
      </x:c>
      <x:c r="F33" s="2"/>
      <x:c r="G33" s="5" t="s">
        <x:v>34</x:v>
      </x:c>
      <x:c r="H33" s="5"/>
      <x:c r="I33" s="5"/>
      <x:c r="J33" s="5"/>
      <x:c r="K33" s="9" t="e">
        <x:f aca="0">HYPERLINK("#'Detalhes'!B2","ℹ")</x:f>
        <x:v>HYPERLINK is not implemented. linkLocation=#'Detalhes'!B2, friendlyName=ℹ</x:v>
      </x:c>
      <x:c r="L33" s="2"/>
    </x:row>
    <x:row r="34" ht="34" hidden="0" customHeight="1">
      <x:c r="A34" s="2"/>
      <x:c r="B34" s="4" t="s">
        <x:v>35</x:v>
      </x:c>
      <x:c r="C34" s="4"/>
      <x:c r="D34" s="4"/>
      <x:c r="E34" s="4"/>
      <x:c r="F34" s="2"/>
      <x:c r="G34" s="10" t="str">
        <x:f aca="0">Matrizes!C123</x:f>
        <x:v>Parcialmente no volume</x:v>
      </x:c>
      <x:c r="H34" s="10"/>
      <x:c r="I34" s="10"/>
      <x:c r="J34" s="10"/>
      <x:c r="K34" s="10"/>
      <x:c r="L34" s="2"/>
    </x:row>
    <x:row r="35" ht="23" hidden="0" customHeight="1">
      <x:c r="A35" s="2"/>
      <x:c r="B35" s="2"/>
      <x:c r="C35" s="2"/>
      <x:c r="D35" s="2"/>
      <x:c r="E35" s="2"/>
      <x:c r="F35" s="2"/>
      <x:c r="G35" s="10"/>
      <x:c r="H35" s="10"/>
      <x:c r="I35" s="10"/>
      <x:c r="J35" s="10"/>
      <x:c r="K35" s="10"/>
      <x:c r="L35" s="2"/>
    </x:row>
    <x:row r="36" ht="25" hidden="0" customHeight="1">
      <x:c r="A36" s="2"/>
      <x:c r="B36" s="5" t="s">
        <x:v>36</x:v>
      </x:c>
      <x:c r="C36" s="5"/>
      <x:c r="D36" s="5"/>
      <x:c r="E36" s="5"/>
      <x:c r="F36" s="2"/>
      <x:c r="G36" s="2"/>
      <x:c r="H36" s="2"/>
      <x:c r="I36" s="2"/>
      <x:c r="J36" s="2"/>
      <x:c r="K36" s="2"/>
      <x:c r="L36" s="2"/>
    </x:row>
    <x:row r="37" ht="23" hidden="0" customHeight="1">
      <x:c r="A37" s="2"/>
      <x:c r="B37" s="2" t="s">
        <x:v>37</x:v>
      </x:c>
      <x:c r="C37" s="8" t="n">
        <x:v>60</x:v>
      </x:c>
      <x:c r="D37" s="2" t="s">
        <x:v>38</x:v>
      </x:c>
      <x:c r="E37" s="8" t="s">
        <x:v>39</x:v>
      </x:c>
      <x:c r="F37" s="2"/>
      <x:c r="G37" s="4" t="s">
        <x:v>40</x:v>
      </x:c>
      <x:c r="H37" s="4"/>
      <x:c r="I37" s="4"/>
      <x:c r="J37" s="4"/>
      <x:c r="K37" s="4"/>
      <x:c r="L37" s="2"/>
    </x:row>
    <x:row r="38" ht="23" hidden="0" customHeight="1">
      <x:c r="A38" s="2"/>
      <x:c r="B38" s="2" t="s">
        <x:v>41</x:v>
      </x:c>
      <x:c r="C38" s="8" t="n">
        <x:v>800</x:v>
      </x:c>
      <x:c r="D38" s="2" t="s">
        <x:v>42</x:v>
      </x:c>
      <x:c r="E38" s="8" t="n">
        <x:v>600</x:v>
      </x:c>
      <x:c r="F38" s="2"/>
      <x:c r="G38" s="4"/>
      <x:c r="H38" s="4"/>
      <x:c r="I38" s="4"/>
      <x:c r="J38" s="4"/>
      <x:c r="K38" s="4"/>
      <x:c r="L38" s="2"/>
    </x:row>
    <x:row r="39" ht="23" hidden="0" customHeight="1">
      <x:c r="A39" s="2"/>
      <x:c r="B39" s="2" t="s">
        <x:v>43</x:v>
      </x:c>
      <x:c r="C39" s="8" t="n">
        <x:v>1</x:v>
      </x:c>
      <x:c r="D39" s="2" t="s">
        <x:v>44</x:v>
      </x:c>
      <x:c r="E39" s="8" t="n">
        <x:v>25</x:v>
      </x:c>
      <x:c r="F39" s="2"/>
      <x:c r="G39" s="4"/>
      <x:c r="H39" s="4"/>
      <x:c r="I39" s="4"/>
      <x:c r="J39" s="4"/>
      <x:c r="K39" s="4"/>
      <x:c r="L39" s="2"/>
    </x:row>
    <x:row r="40" ht="24" hidden="0" customHeight="1">
      <x:c r="A40" s="2"/>
      <x:c r="B40" s="4" t="s">
        <x:v>45</x:v>
      </x:c>
      <x:c r="C40" s="4"/>
      <x:c r="D40" s="4"/>
      <x:c r="E40" s="4"/>
      <x:c r="F40" s="2"/>
      <x:c r="G40" s="2"/>
      <x:c r="H40" s="2"/>
      <x:c r="I40" s="2"/>
      <x:c r="J40" s="2"/>
      <x:c r="K40" s="2"/>
      <x:c r="L40" s="2"/>
    </x:row>
    <x:row r="41" ht="24" hidden="0" customHeight="1">
      <x:c r="A41" s="2"/>
      <x:c r="B41" s="4"/>
      <x:c r="C41" s="4"/>
      <x:c r="D41" s="4"/>
      <x:c r="E41" s="4"/>
      <x:c r="F41" s="2"/>
      <x:c r="G41" s="4" t="s">
        <x:v>46</x:v>
      </x:c>
      <x:c r="H41" s="4"/>
      <x:c r="I41" s="4"/>
      <x:c r="J41" s="4"/>
      <x:c r="K41" s="4"/>
      <x:c r="L41" s="2"/>
    </x:row>
    <x:row r="42" ht="24" hidden="0" customHeight="1">
      <x:c r="A42" s="2"/>
      <x:c r="B42" s="2"/>
      <x:c r="C42" s="2"/>
      <x:c r="D42" s="2"/>
      <x:c r="E42" s="2"/>
      <x:c r="F42" s="2"/>
      <x:c r="G42" s="4"/>
      <x:c r="H42" s="4"/>
      <x:c r="I42" s="4"/>
      <x:c r="J42" s="4"/>
      <x:c r="K42" s="4"/>
      <x:c r="L42" s="2"/>
    </x:row>
    <x:row r="43" ht="24" hidden="0" customHeight="1">
      <x:c r="A43" s="2"/>
      <x:c r="B43" s="4" t="s">
        <x:v>47</x:v>
      </x:c>
      <x:c r="C43" s="4"/>
      <x:c r="D43" s="4"/>
      <x:c r="E43" s="4"/>
      <x:c r="F43" s="2"/>
      <x:c r="G43" s="4"/>
      <x:c r="H43" s="4"/>
      <x:c r="I43" s="4"/>
      <x:c r="J43" s="4"/>
      <x:c r="K43" s="4"/>
      <x:c r="L43" s="2"/>
    </x:row>
    <x:row r="44" ht="24" hidden="0" customHeight="1">
      <x:c r="A44" s="2"/>
      <x:c r="B44" s="4"/>
      <x:c r="C44" s="4"/>
      <x:c r="D44" s="4"/>
      <x:c r="E44" s="4"/>
      <x:c r="F44" s="2"/>
      <x:c r="G44" s="4"/>
      <x:c r="H44" s="4"/>
      <x:c r="I44" s="4"/>
      <x:c r="J44" s="4"/>
      <x:c r="K44" s="4"/>
      <x:c r="L44" s="2"/>
    </x:row>
    <x:row r="45" ht="23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</x:sheetData>
  <x:mergeCells>
    <x:mergeCell ref="B4:E4"/>
    <x:mergeCell ref="G4:K4"/>
    <x:mergeCell ref="B16:E16"/>
    <x:mergeCell ref="B21:E21"/>
    <x:mergeCell ref="B26:E26"/>
    <x:mergeCell ref="B34:E34"/>
    <x:mergeCell ref="G34:K35"/>
    <x:mergeCell ref="G37:K39"/>
    <x:mergeCell ref="B40:E41"/>
    <x:mergeCell ref="G41:K44"/>
    <x:mergeCell ref="B43:E44"/>
  </x:mergeCells>
  <x:conditionalFormatting sqref="C14:C15">
    <x:cfRule type="expression" dxfId="0" priority="2" aboveAverage="0" percent="0" bottom="0" rank="0" equalAverage="0">
      <x:formula>$C$13="Nenhuma"</x:formula>
    </x:cfRule>
  </x:conditionalFormatting>
  <x:conditionalFormatting sqref="C32:E32">
    <x:cfRule type="expression" dxfId="1" priority="3" aboveAverage="0" percent="0" bottom="0" rank="0" equalAverage="0">
      <x:formula>$C$31&lt;&gt;"Manual"</x:formula>
    </x:cfRule>
  </x:conditionalFormatting>
  <x:conditionalFormatting sqref="C20:C20">
    <x:cfRule type="expression" dxfId="2" priority="4" aboveAverage="0" percent="0" bottom="0" rank="0" equalAverage="0">
      <x:formula>$C$19=1</x:formula>
    </x:cfRule>
  </x:conditionalFormatting>
  <x:dataValidations count="5">
    <x:dataValidation type="list" errorStyle="stop" operator="equal" allowBlank="0" showDropDown="0" showInputMessage="0" showErrorMessage="0" sqref="C13">
      <x:formula1>"Nenhuma,X,Y,Z"</x:formula1>
      <x:formula2>0</x:formula2>
    </x:dataValidation>
    <x:dataValidation type="list" errorStyle="stop" operator="equal" allowBlank="0" showDropDown="0" showInputMessage="0" showErrorMessage="0" sqref="C15">
      <x:formula1>"Centro,Origem"</x:formula1>
      <x:formula2>0</x:formula2>
    </x:dataValidation>
    <x:dataValidation type="list" errorStyle="stop" operator="equal" allowBlank="0" showDropDown="0" showInputMessage="0" showErrorMessage="0" sqref="C20">
      <x:formula1>"Centro,Origem"</x:formula1>
      <x:formula2>0</x:formula2>
    </x:dataValidation>
    <x:dataValidation type="list" errorStyle="stop" operator="equal" allowBlank="0" showDropDown="0" showInputMessage="0" showErrorMessage="0" sqref="C31">
      <x:formula1>"Origem,Centro,Manual"</x:formula1>
      <x:formula2>0</x:formula2>
    </x:dataValidation>
    <x:dataValidation type="list" errorStyle="stop" operator="equal" allowBlank="0" showDropDown="0" showInputMessage="0" showErrorMessage="0" sqref="E37">
      <x:formula1>"Vertical,Horizontal"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3e7dc43c0aa4f6f"/>
</x:worksheet>
</file>

<file path=xl/worksheets/sheet2.xml><?xml version="1.0" encoding="utf-8"?>
<x:worksheet xmlns:x="http://schemas.openxmlformats.org/spreadsheetml/2006/main">
  <x:sheetPr>
    <x:tabColor rgb="FF8795AA"/>
  </x:sheetPr>
  <x:sheetViews>
    <x:sheetView showGridLines="1" workbookViewId="0"/>
  </x:sheetViews>
  <x:sheetFormatPr defaultColWidth="11.53515625" defaultRowHeight="12.800000190734863"/>
  <x:cols>
    <x:col min="1" max="1" width="3" style="1" hidden="0" customWidth="1"/>
    <x:col min="2" max="5" width="14" style="1" hidden="0" customWidth="1"/>
    <x:col min="6" max="6" width="4" style="1" hidden="0" customWidth="1"/>
    <x:col min="7" max="10" width="14" style="1" hidden="0" customWidth="1"/>
    <x:col min="11" max="11" width="4" style="1" hidden="0" customWidth="1"/>
    <x:col min="12" max="15" width="14" style="1" hidden="0" customWidth="1"/>
    <x:col min="16" max="1024" width="8.680000305175781" style="1" hidden="0" customWidth="1"/>
  </x:cols>
  <x:sheetData>
    <x:row r="1" ht="23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hidden="0" customHeight="1">
      <x:c r="A2" s="2"/>
      <x:c r="B2" s="3" t="s">
        <x:v>48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hidden="0" customHeight="1">
      <x:c r="A4" s="2"/>
      <x:c r="B4" s="2" t="s">
        <x:v>49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5" hidden="0" customHeight="1">
      <x:c r="A6" s="2"/>
      <x:c r="B6" s="5" t="s">
        <x:v>50</x:v>
      </x:c>
      <x:c r="C6" s="5"/>
      <x:c r="D6" s="5"/>
      <x:c r="E6" s="5"/>
      <x:c r="F6" s="2"/>
      <x:c r="G6" s="5" t="s">
        <x:v>51</x:v>
      </x:c>
      <x:c r="H6" s="5"/>
      <x:c r="I6" s="5"/>
      <x:c r="J6" s="5"/>
      <x:c r="K6" s="2"/>
      <x:c r="L6" s="2"/>
      <x:c r="M6" s="2"/>
      <x:c r="N6" s="2"/>
      <x:c r="O6" s="2"/>
    </x:row>
    <x:row r="7" ht="23" hidden="0" customHeight="1">
      <x:c r="A7" s="2"/>
      <x:c r="B7" s="2" t="s">
        <x:v>9</x:v>
      </x:c>
      <x:c r="C7" s="2" t="s">
        <x:v>10</x:v>
      </x:c>
      <x:c r="D7" s="2" t="s">
        <x:v>11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3" hidden="0" customHeight="1">
      <x:c r="A8" s="2"/>
      <x:c r="B8" s="7" t="n">
        <x:f aca="0">Calculadora!C8</x:f>
        <x:v>-2.5</x:v>
      </x:c>
      <x:c r="C8" s="7" t="n">
        <x:f aca="0">Calculadora!C9</x:f>
        <x:v>6</x:v>
      </x:c>
      <x:c r="D8" s="7" t="n">
        <x:f aca="0">Calculadora!C10</x:f>
        <x:v>-2.5</x:v>
      </x:c>
      <x:c r="E8" s="2"/>
      <x:c r="F8" s="2"/>
      <x:c r="G8" s="7" t="n">
        <x:f aca="0">SUM(B8:D8)/3</x:f>
        <x:v>0.3333333333333333</x:v>
      </x:c>
      <x:c r="H8" s="2"/>
      <x:c r="I8" s="2"/>
      <x:c r="J8" s="2"/>
      <x:c r="K8" s="2"/>
      <x:c r="L8" s="2"/>
      <x:c r="M8" s="2"/>
      <x:c r="N8" s="2"/>
      <x:c r="O8" s="2"/>
    </x:row>
    <x:row r="9" ht="23" hidden="0" customHeight="1">
      <x:c r="A9" s="2"/>
      <x:c r="B9" s="7" t="n">
        <x:f aca="0">Calculadora!D8</x:f>
        <x:v>-2.5</x:v>
      </x:c>
      <x:c r="C9" s="7" t="n">
        <x:f aca="0">Calculadora!D9</x:f>
        <x:v>9</x:v>
      </x:c>
      <x:c r="D9" s="7" t="n">
        <x:f aca="0">Calculadora!D10</x:f>
        <x:v>2.5</x:v>
      </x:c>
      <x:c r="E9" s="2"/>
      <x:c r="F9" s="2"/>
      <x:c r="G9" s="7" t="n">
        <x:f aca="0">SUM(B9:D9)/3</x:f>
        <x:v>3</x:v>
      </x:c>
      <x:c r="H9" s="2"/>
      <x:c r="I9" s="2"/>
      <x:c r="J9" s="2"/>
      <x:c r="K9" s="2"/>
      <x:c r="L9" s="2"/>
      <x:c r="M9" s="2"/>
      <x:c r="N9" s="2"/>
      <x:c r="O9" s="2"/>
    </x:row>
    <x:row r="10" ht="23" hidden="0" customHeight="1">
      <x:c r="A10" s="2"/>
      <x:c r="B10" s="7" t="n">
        <x:f aca="0">Calculadora!E8</x:f>
        <x:v>2</x:v>
      </x:c>
      <x:c r="C10" s="7" t="n">
        <x:f aca="0">Calculadora!E9</x:f>
        <x:v>2</x:v>
      </x:c>
      <x:c r="D10" s="7" t="n">
        <x:f aca="0">Calculadora!E10</x:f>
        <x:v>2</x:v>
      </x:c>
      <x:c r="E10" s="2"/>
      <x:c r="F10" s="2"/>
      <x:c r="G10" s="7" t="n">
        <x:f aca="0">SUM(B10:D10)/3</x:f>
        <x:v>2</x:v>
      </x:c>
      <x:c r="H10" s="2"/>
      <x:c r="I10" s="2"/>
      <x:c r="J10" s="2"/>
      <x:c r="K10" s="2"/>
      <x:c r="L10" s="2"/>
      <x:c r="M10" s="2"/>
      <x:c r="N10" s="2"/>
      <x:c r="O10" s="2"/>
    </x:row>
    <x:row r="11" ht="23" hidden="0" customHeight="1">
      <x:c r="A11" s="2"/>
      <x:c r="B11" s="7" t="n">
        <x:f aca="0">1</x:f>
        <x:v>1</x:v>
      </x:c>
      <x:c r="C11" s="7" t="n">
        <x:f aca="0">1</x:f>
        <x:v>1</x:v>
      </x:c>
      <x:c r="D11" s="7" t="n">
        <x:f aca="0">1</x:f>
        <x:v>1</x:v>
      </x:c>
      <x:c r="E11" s="2"/>
      <x:c r="F11" s="2"/>
      <x:c r="G11" s="7" t="n">
        <x:f aca="0">1</x:f>
        <x:v>1</x:v>
      </x:c>
      <x:c r="H11" s="2"/>
      <x:c r="I11" s="2"/>
      <x:c r="J11" s="2"/>
      <x:c r="K11" s="2"/>
      <x:c r="L11" s="2"/>
      <x:c r="M11" s="2"/>
      <x:c r="N11" s="2"/>
      <x:c r="O11" s="2"/>
    </x:row>
    <x:row r="12" ht="23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3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5" hidden="0" customHeight="1">
      <x:c r="A14" s="2"/>
      <x:c r="B14" s="5" t="s">
        <x:v>52</x:v>
      </x:c>
      <x:c r="C14" s="5"/>
      <x:c r="D14" s="5"/>
      <x:c r="E14" s="5"/>
      <x:c r="F14" s="2"/>
      <x:c r="G14" s="5" t="s">
        <x:v>53</x:v>
      </x:c>
      <x:c r="H14" s="5"/>
      <x:c r="I14" s="5"/>
      <x:c r="J14" s="5"/>
      <x:c r="K14" s="2"/>
      <x:c r="L14" s="2"/>
      <x:c r="M14" s="2"/>
      <x:c r="N14" s="2"/>
      <x:c r="O14" s="2"/>
    </x:row>
    <x:row r="15" ht="23" hidden="0" customHeight="1">
      <x:c r="A15" s="2"/>
      <x:c r="B15" s="7" t="n">
        <x:f aca="0">IF(Calculadora!$C$13="Nenhuma",1,IF(Calculadora!$C$13="X",1,IF(Calculadora!$C$13="Y",COS(Calculadora!$C$14*PI()/180),COS(Calculadora!$C$14*PI()/180))))</x:f>
        <x:v>0.5000000000000001</x:v>
      </x:c>
      <x:c r="C15" s="7" t="n">
        <x:f aca="0">IF(Calculadora!$C$13="Nenhuma",0,IF(Calculadora!$C$13="X",0,IF(Calculadora!$C$13="Y",0,-SIN(Calculadora!$C$14*PI()/180))))</x:f>
        <x:v>-0.8660254037844386</x:v>
      </x:c>
      <x:c r="D15" s="7" t="n">
        <x:f aca="0">IF(Calculadora!$C$13="Nenhuma",0,IF(Calculadora!$C$13="X",0,IF(Calculadora!$C$13="Y",SIN(Calculadora!$C$14*PI()/180),0)))</x:f>
        <x:v>0</x:v>
      </x:c>
      <x:c r="E15" s="7" t="n">
        <x:f aca="0">0</x:f>
        <x:v>0</x:v>
      </x:c>
      <x:c r="F15" s="2"/>
      <x:c r="G15" s="7" t="n">
        <x:f aca="0">IF(Calculadora!C15="Centro",G8,0)</x:f>
        <x:v>0.3333333333333333</x:v>
      </x:c>
      <x:c r="H15" s="2"/>
      <x:c r="I15" s="2"/>
      <x:c r="J15" s="2"/>
      <x:c r="K15" s="2"/>
      <x:c r="L15" s="2"/>
      <x:c r="M15" s="2"/>
      <x:c r="N15" s="2"/>
      <x:c r="O15" s="2"/>
    </x:row>
    <x:row r="16" ht="23" hidden="0" customHeight="1">
      <x:c r="A16" s="2"/>
      <x:c r="B16" s="7" t="n">
        <x:f aca="0">IF(Calculadora!$C$13="Nenhuma",0,IF(Calculadora!$C$13="X",0,IF(Calculadora!$C$13="Y",0,SIN(Calculadora!$C$14*PI()/180))))</x:f>
        <x:v>0.8660254037844386</x:v>
      </x:c>
      <x:c r="C16" s="7" t="n">
        <x:f aca="0">IF(Calculadora!$C$13="Nenhuma",1,IF(Calculadora!$C$13="X",COS(Calculadora!$C$14*PI()/180),IF(Calculadora!$C$13="Y",1,COS(Calculadora!$C$14*PI()/180))))</x:f>
        <x:v>0.5000000000000001</x:v>
      </x:c>
      <x:c r="D16" s="7" t="n">
        <x:f aca="0">IF(Calculadora!$C$13="Nenhuma",0,IF(Calculadora!$C$13="X",-SIN(Calculadora!$C$14*PI()/180),IF(Calculadora!$C$13="Y",0,0)))</x:f>
        <x:v>0</x:v>
      </x:c>
      <x:c r="E16" s="7" t="n">
        <x:f aca="0">0</x:f>
        <x:v>0</x:v>
      </x:c>
      <x:c r="F16" s="2"/>
      <x:c r="G16" s="7" t="n">
        <x:f aca="0">IF(Calculadora!C15="Centro",G9,0)</x:f>
        <x:v>3</x:v>
      </x:c>
      <x:c r="H16" s="2"/>
      <x:c r="I16" s="2"/>
      <x:c r="J16" s="2"/>
      <x:c r="K16" s="2"/>
      <x:c r="L16" s="2"/>
      <x:c r="M16" s="2"/>
      <x:c r="N16" s="2"/>
      <x:c r="O16" s="2"/>
    </x:row>
    <x:row r="17" ht="23" hidden="0" customHeight="1">
      <x:c r="A17" s="2"/>
      <x:c r="B17" s="7" t="n">
        <x:f aca="0">IF(Calculadora!$C$13="Nenhuma",0,IF(Calculadora!$C$13="X",0,IF(Calculadora!$C$13="Y",-SIN(Calculadora!$C$14*PI()/180),0)))</x:f>
        <x:v>0</x:v>
      </x:c>
      <x:c r="C17" s="7" t="n">
        <x:f aca="0">IF(Calculadora!$C$13="Nenhuma",0,IF(Calculadora!$C$13="X",SIN(Calculadora!$C$14*PI()/180),IF(Calculadora!$C$13="Y",0,0)))</x:f>
        <x:v>0</x:v>
      </x:c>
      <x:c r="D17" s="7" t="n">
        <x:f aca="0">IF(Calculadora!$C$13="Nenhuma",1,IF(Calculadora!$C$13="X",COS(Calculadora!$C$14*PI()/180),IF(Calculadora!$C$13="Y",COS(Calculadora!$C$14*PI()/180),1)))</x:f>
        <x:v>1</x:v>
      </x:c>
      <x:c r="E17" s="7" t="n">
        <x:f aca="0">0</x:f>
        <x:v>0</x:v>
      </x:c>
      <x:c r="F17" s="2"/>
      <x:c r="G17" s="7" t="n">
        <x:f aca="0">IF(Calculadora!C15="Centro",G10,0)</x:f>
        <x:v>2</x:v>
      </x:c>
      <x:c r="H17" s="2"/>
      <x:c r="I17" s="2"/>
      <x:c r="J17" s="2"/>
      <x:c r="K17" s="2"/>
      <x:c r="L17" s="2"/>
      <x:c r="M17" s="2"/>
      <x:c r="N17" s="2"/>
      <x:c r="O17" s="2"/>
    </x:row>
    <x:row r="18" ht="23" hidden="0" customHeight="1">
      <x:c r="A18" s="2"/>
      <x:c r="B18" s="7" t="n">
        <x:f aca="0">0</x:f>
        <x:v>0</x:v>
      </x:c>
      <x:c r="C18" s="7" t="n">
        <x:f aca="0">0</x:f>
        <x:v>0</x:v>
      </x:c>
      <x:c r="D18" s="7" t="n">
        <x:f aca="0">0</x:f>
        <x:v>0</x:v>
      </x:c>
      <x:c r="E18" s="7" t="n">
        <x:f aca="0">1</x:f>
        <x:v>1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3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3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5" hidden="0" customHeight="1">
      <x:c r="A21" s="2"/>
      <x:c r="B21" s="5" t="s">
        <x:v>54</x:v>
      </x:c>
      <x:c r="C21" s="5"/>
      <x:c r="D21" s="5"/>
      <x:c r="E21" s="5"/>
      <x:c r="F21" s="2"/>
      <x:c r="G21" s="5" t="s">
        <x:v>55</x:v>
      </x:c>
      <x:c r="H21" s="5"/>
      <x:c r="I21" s="5"/>
      <x:c r="J21" s="5"/>
      <x:c r="K21" s="2"/>
      <x:c r="L21" s="2"/>
      <x:c r="M21" s="2"/>
      <x:c r="N21" s="2"/>
      <x:c r="O21" s="2"/>
    </x:row>
    <x:row r="22" ht="23" hidden="0" customHeight="1">
      <x:c r="A22" s="2"/>
      <x:c r="B22" s="7" t="n">
        <x:f aca="0">1</x:f>
        <x:v>1</x:v>
      </x:c>
      <x:c r="C22" s="7" t="n">
        <x:f aca="0">0</x:f>
        <x:v>0</x:v>
      </x:c>
      <x:c r="D22" s="7" t="n">
        <x:f aca="0">0</x:f>
        <x:v>0</x:v>
      </x:c>
      <x:c r="E22" s="7" t="n">
        <x:f aca="0">-1*G15</x:f>
        <x:v>-0.3333333333333333</x:v>
      </x:c>
      <x:c r="F22" s="2"/>
      <x:c r="G22" s="7" t="n">
        <x:f aca="0">1</x:f>
        <x:v>1</x:v>
      </x:c>
      <x:c r="H22" s="7" t="n">
        <x:f aca="0">0</x:f>
        <x:v>0</x:v>
      </x:c>
      <x:c r="I22" s="7" t="n">
        <x:f aca="0">0</x:f>
        <x:v>0</x:v>
      </x:c>
      <x:c r="J22" s="7" t="n">
        <x:f aca="0">1*G15</x:f>
        <x:v>0.3333333333333333</x:v>
      </x:c>
      <x:c r="K22" s="2"/>
      <x:c r="L22" s="2"/>
      <x:c r="M22" s="2"/>
      <x:c r="N22" s="2"/>
      <x:c r="O22" s="2"/>
    </x:row>
    <x:row r="23" ht="23" hidden="0" customHeight="1">
      <x:c r="A23" s="2"/>
      <x:c r="B23" s="7" t="n">
        <x:f aca="0">0</x:f>
        <x:v>0</x:v>
      </x:c>
      <x:c r="C23" s="7" t="n">
        <x:f aca="0">1</x:f>
        <x:v>1</x:v>
      </x:c>
      <x:c r="D23" s="7" t="n">
        <x:f aca="0">0</x:f>
        <x:v>0</x:v>
      </x:c>
      <x:c r="E23" s="7" t="n">
        <x:f aca="0">-1*G16</x:f>
        <x:v>-3</x:v>
      </x:c>
      <x:c r="F23" s="2"/>
      <x:c r="G23" s="7" t="n">
        <x:f aca="0">0</x:f>
        <x:v>0</x:v>
      </x:c>
      <x:c r="H23" s="7" t="n">
        <x:f aca="0">1</x:f>
        <x:v>1</x:v>
      </x:c>
      <x:c r="I23" s="7" t="n">
        <x:f aca="0">0</x:f>
        <x:v>0</x:v>
      </x:c>
      <x:c r="J23" s="7" t="n">
        <x:f aca="0">1*G16</x:f>
        <x:v>3</x:v>
      </x:c>
      <x:c r="K23" s="2"/>
      <x:c r="L23" s="2"/>
      <x:c r="M23" s="2"/>
      <x:c r="N23" s="2"/>
      <x:c r="O23" s="2"/>
    </x:row>
    <x:row r="24" ht="23" hidden="0" customHeight="1">
      <x:c r="A24" s="2"/>
      <x:c r="B24" s="7" t="n">
        <x:f aca="0">0</x:f>
        <x:v>0</x:v>
      </x:c>
      <x:c r="C24" s="7" t="n">
        <x:f aca="0">0</x:f>
        <x:v>0</x:v>
      </x:c>
      <x:c r="D24" s="7" t="n">
        <x:f aca="0">1</x:f>
        <x:v>1</x:v>
      </x:c>
      <x:c r="E24" s="7" t="n">
        <x:f aca="0">-1*G17</x:f>
        <x:v>-2</x:v>
      </x:c>
      <x:c r="F24" s="2"/>
      <x:c r="G24" s="7" t="n">
        <x:f aca="0">0</x:f>
        <x:v>0</x:v>
      </x:c>
      <x:c r="H24" s="7" t="n">
        <x:f aca="0">0</x:f>
        <x:v>0</x:v>
      </x:c>
      <x:c r="I24" s="7" t="n">
        <x:f aca="0">1</x:f>
        <x:v>1</x:v>
      </x:c>
      <x:c r="J24" s="7" t="n">
        <x:f aca="0">1*G17</x:f>
        <x:v>2</x:v>
      </x:c>
      <x:c r="K24" s="2"/>
      <x:c r="L24" s="2"/>
      <x:c r="M24" s="2"/>
      <x:c r="N24" s="2"/>
      <x:c r="O24" s="2"/>
    </x:row>
    <x:row r="25" ht="23" hidden="0" customHeight="1">
      <x:c r="A25" s="2"/>
      <x:c r="B25" s="7" t="n">
        <x:f aca="0">0</x:f>
        <x:v>0</x:v>
      </x:c>
      <x:c r="C25" s="7" t="n">
        <x:f aca="0">0</x:f>
        <x:v>0</x:v>
      </x:c>
      <x:c r="D25" s="7" t="n">
        <x:f aca="0">0</x:f>
        <x:v>0</x:v>
      </x:c>
      <x:c r="E25" s="7" t="n">
        <x:f aca="0">1</x:f>
        <x:v>1</x:v>
      </x:c>
      <x:c r="F25" s="2"/>
      <x:c r="G25" s="7" t="n">
        <x:f aca="0">0</x:f>
        <x:v>0</x:v>
      </x:c>
      <x:c r="H25" s="7" t="n">
        <x:f aca="0">0</x:f>
        <x:v>0</x:v>
      </x:c>
      <x:c r="I25" s="7" t="n">
        <x:f aca="0">0</x:f>
        <x:v>0</x:v>
      </x:c>
      <x:c r="J25" s="7" t="n">
        <x:f aca="0">1</x:f>
        <x:v>1</x:v>
      </x:c>
      <x:c r="K25" s="2"/>
      <x:c r="L25" s="2"/>
      <x:c r="M25" s="2"/>
      <x:c r="N25" s="2"/>
      <x:c r="O25" s="2"/>
    </x:row>
    <x:row r="26" ht="23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3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5" hidden="0" customHeight="1">
      <x:c r="A28" s="2"/>
      <x:c r="B28" s="5" t="s">
        <x:v>56</x:v>
      </x:c>
      <x:c r="C28" s="5"/>
      <x:c r="D28" s="5"/>
      <x:c r="E28" s="5"/>
      <x:c r="F28" s="2"/>
      <x:c r="G28" s="5" t="s">
        <x:v>57</x:v>
      </x:c>
      <x:c r="H28" s="5"/>
      <x:c r="I28" s="5"/>
      <x:c r="J28" s="5"/>
      <x:c r="K28" s="2"/>
      <x:c r="L28" s="2"/>
      <x:c r="M28" s="2"/>
      <x:c r="N28" s="2"/>
      <x:c r="O28" s="2"/>
    </x:row>
    <x:row r="29" ht="23" hidden="0" customHeight="1">
      <x:c r="A29" s="2"/>
      <x:c r="B29" s="7" t="n">
        <x:f aca="0">B15</x:f>
        <x:v>0.5000000000000001</x:v>
      </x:c>
      <x:c r="C29" s="7" t="n">
        <x:f aca="0">C15</x:f>
        <x:v>-0.8660254037844386</x:v>
      </x:c>
      <x:c r="D29" s="7" t="n">
        <x:f aca="0">D15</x:f>
        <x:v>0</x:v>
      </x:c>
      <x:c r="E29" s="7" t="n">
        <x:f aca="0">G15-B15*G15-C15*G16-D15*G17</x:f>
        <x:v>2.7647428780199825</x:v>
      </x:c>
      <x:c r="F29" s="2"/>
      <x:c r="G29" s="7" t="n">
        <x:f aca="0">B29*B8+C29*B9+D29*B10+E29*B11</x:f>
        <x:v>3.6798063874810785</x:v>
      </x:c>
      <x:c r="H29" s="7" t="n">
        <x:f aca="0">B29*C8+C29*C9+D29*C10+E29*C11</x:f>
        <x:v>-2.0294857560399637</x:v>
      </x:c>
      <x:c r="I29" s="7" t="n">
        <x:f aca="0">B29*D8+C29*D9+D29*D10+E29*D11</x:f>
        <x:v>-0.6503206314411139</x:v>
      </x:c>
      <x:c r="J29" s="2"/>
      <x:c r="K29" s="2"/>
      <x:c r="L29" s="2"/>
      <x:c r="M29" s="2"/>
      <x:c r="N29" s="2"/>
      <x:c r="O29" s="2"/>
    </x:row>
    <x:row r="30" ht="23" hidden="0" customHeight="1">
      <x:c r="A30" s="2"/>
      <x:c r="B30" s="7" t="n">
        <x:f aca="0">B16</x:f>
        <x:v>0.8660254037844386</x:v>
      </x:c>
      <x:c r="C30" s="7" t="n">
        <x:f aca="0">C16</x:f>
        <x:v>0.5000000000000001</x:v>
      </x:c>
      <x:c r="D30" s="7" t="n">
        <x:f aca="0">D16</x:f>
        <x:v>0</x:v>
      </x:c>
      <x:c r="E30" s="7" t="n">
        <x:f aca="0">G16-B16*G15-C16*G16-D16*G17</x:f>
        <x:v>1.2113248654051865</x:v>
      </x:c>
      <x:c r="F30" s="2"/>
      <x:c r="G30" s="7" t="n">
        <x:f aca="0">B30*B8+C30*B9+D30*B10+E30*B11</x:f>
        <x:v>-2.20373864405591</x:v>
      </x:c>
      <x:c r="H30" s="7" t="n">
        <x:f aca="0">B30*C8+C30*C9+D30*C10+E30*C11</x:f>
        <x:v>10.907477288111819</x:v>
      </x:c>
      <x:c r="I30" s="7" t="n">
        <x:f aca="0">B30*D8+C30*D9+D30*D10+E30*D11</x:f>
        <x:v>0.2962613559440903</x:v>
      </x:c>
      <x:c r="J30" s="2"/>
      <x:c r="K30" s="2"/>
      <x:c r="L30" s="2"/>
      <x:c r="M30" s="2"/>
      <x:c r="N30" s="2"/>
      <x:c r="O30" s="2"/>
    </x:row>
    <x:row r="31" ht="23" hidden="0" customHeight="1">
      <x:c r="A31" s="2"/>
      <x:c r="B31" s="7" t="n">
        <x:f aca="0">B17</x:f>
        <x:v>0</x:v>
      </x:c>
      <x:c r="C31" s="7" t="n">
        <x:f aca="0">C17</x:f>
        <x:v>0</x:v>
      </x:c>
      <x:c r="D31" s="7" t="n">
        <x:f aca="0">D17</x:f>
        <x:v>1</x:v>
      </x:c>
      <x:c r="E31" s="7" t="n">
        <x:f aca="0">G17-B17*G15-C17*G16-D17*G17</x:f>
        <x:v>0</x:v>
      </x:c>
      <x:c r="F31" s="2"/>
      <x:c r="G31" s="7" t="n">
        <x:f aca="0">B31*B8+C31*B9+D31*B10+E31*B11</x:f>
        <x:v>2</x:v>
      </x:c>
      <x:c r="H31" s="7" t="n">
        <x:f aca="0">B31*C8+C31*C9+D31*C10+E31*C11</x:f>
        <x:v>2</x:v>
      </x:c>
      <x:c r="I31" s="7" t="n">
        <x:f aca="0">B31*D8+C31*D9+D31*D10+E31*D11</x:f>
        <x:v>2</x:v>
      </x:c>
      <x:c r="J31" s="2"/>
      <x:c r="K31" s="2"/>
      <x:c r="L31" s="2"/>
      <x:c r="M31" s="2"/>
      <x:c r="N31" s="2"/>
      <x:c r="O31" s="2"/>
    </x:row>
    <x:row r="32" ht="23" hidden="0" customHeight="1">
      <x:c r="A32" s="2"/>
      <x:c r="B32" s="7" t="n">
        <x:f aca="0">0</x:f>
        <x:v>0</x:v>
      </x:c>
      <x:c r="C32" s="7" t="n">
        <x:f aca="0">0</x:f>
        <x:v>0</x:v>
      </x:c>
      <x:c r="D32" s="7" t="n">
        <x:f aca="0">0</x:f>
        <x:v>0</x:v>
      </x:c>
      <x:c r="E32" s="7" t="n">
        <x:f aca="0">1</x:f>
        <x:v>1</x:v>
      </x:c>
      <x:c r="F32" s="2"/>
      <x:c r="G32" s="7" t="n">
        <x:f aca="0">B32*B8+C32*B9+D32*B10+E32*B11</x:f>
        <x:v>1</x:v>
      </x:c>
      <x:c r="H32" s="7" t="n">
        <x:f aca="0">B32*C8+C32*C9+D32*C10+E32*C11</x:f>
        <x:v>1</x:v>
      </x:c>
      <x:c r="I32" s="7" t="n">
        <x:f aca="0">B32*D8+C32*D9+D32*D10+E32*D11</x:f>
        <x:v>1</x:v>
      </x:c>
      <x:c r="J32" s="2"/>
      <x:c r="K32" s="2"/>
      <x:c r="L32" s="2"/>
      <x:c r="M32" s="2"/>
      <x:c r="N32" s="2"/>
      <x:c r="O32" s="2"/>
    </x:row>
    <x:row r="33" ht="23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3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3" hidden="0" customHeight="1">
      <x:c r="A35" s="2"/>
      <x:c r="B35" s="2"/>
      <x:c r="C35" s="2"/>
      <x:c r="D35" s="2"/>
      <x:c r="E35" s="2"/>
      <x:c r="F35" s="2"/>
      <x:c r="G35" s="2" t="s">
        <x:v>58</x:v>
      </x:c>
      <x:c r="H35" s="2"/>
      <x:c r="I35" s="2"/>
      <x:c r="J35" s="2"/>
      <x:c r="K35" s="2"/>
      <x:c r="L35" s="2"/>
      <x:c r="M35" s="2"/>
      <x:c r="N35" s="2"/>
      <x:c r="O35" s="2"/>
    </x:row>
    <x:row r="36" ht="23" hidden="0" customHeight="1">
      <x:c r="A36" s="2"/>
      <x:c r="B36" s="2"/>
      <x:c r="C36" s="2"/>
      <x:c r="D36" s="2"/>
      <x:c r="E36" s="2"/>
      <x:c r="F36" s="2"/>
      <x:c r="G36" s="7" t="n">
        <x:f aca="0">SUM(G29:I29)/3</x:f>
        <x:v>0.33333333333333365</x:v>
      </x:c>
      <x:c r="H36" s="7" t="n">
        <x:f aca="0">SUM(G30:I30)/3</x:f>
        <x:v>2.9999999999999996</x:v>
      </x:c>
      <x:c r="I36" s="7" t="n">
        <x:f aca="0">SUM(G31:I31)/3</x:f>
        <x:v>2</x:v>
      </x:c>
      <x:c r="J36" s="2"/>
      <x:c r="K36" s="2"/>
      <x:c r="L36" s="2"/>
      <x:c r="M36" s="2"/>
      <x:c r="N36" s="2"/>
      <x:c r="O36" s="2"/>
    </x:row>
    <x:row r="37" ht="23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5" hidden="0" customHeight="1">
      <x:c r="A38" s="2"/>
      <x:c r="B38" s="5" t="s">
        <x:v>59</x:v>
      </x:c>
      <x:c r="C38" s="5"/>
      <x:c r="D38" s="5"/>
      <x:c r="E38" s="5"/>
      <x:c r="F38" s="2"/>
      <x:c r="G38" s="5" t="s">
        <x:v>60</x:v>
      </x:c>
      <x:c r="H38" s="5"/>
      <x:c r="I38" s="5"/>
      <x:c r="J38" s="5"/>
      <x:c r="K38" s="2"/>
      <x:c r="L38" s="2"/>
      <x:c r="M38" s="2"/>
      <x:c r="N38" s="2"/>
      <x:c r="O38" s="2"/>
    </x:row>
    <x:row r="39" ht="23" hidden="0" customHeight="1">
      <x:c r="A39" s="2"/>
      <x:c r="B39" s="7" t="n">
        <x:f aca="0">Calculadora!C19</x:f>
        <x:v>2</x:v>
      </x:c>
      <x:c r="C39" s="7" t="n">
        <x:f aca="0">0</x:f>
        <x:v>0</x:v>
      </x:c>
      <x:c r="D39" s="7" t="n">
        <x:f aca="0">0</x:f>
        <x:v>0</x:v>
      </x:c>
      <x:c r="E39" s="7" t="n">
        <x:f aca="0">0</x:f>
        <x:v>0</x:v>
      </x:c>
      <x:c r="F39" s="2"/>
      <x:c r="G39" s="7" t="n">
        <x:f aca="0">IF(Calculadora!C20="Centro",G36,0)</x:f>
        <x:v>0.33333333333333365</x:v>
      </x:c>
      <x:c r="H39" s="2"/>
      <x:c r="I39" s="2"/>
      <x:c r="J39" s="2"/>
      <x:c r="K39" s="2"/>
      <x:c r="L39" s="2"/>
      <x:c r="M39" s="2"/>
      <x:c r="N39" s="2"/>
      <x:c r="O39" s="2"/>
    </x:row>
    <x:row r="40" ht="23" hidden="0" customHeight="1">
      <x:c r="A40" s="2"/>
      <x:c r="B40" s="7" t="n">
        <x:f aca="0">0</x:f>
        <x:v>0</x:v>
      </x:c>
      <x:c r="C40" s="7" t="n">
        <x:f aca="0">Calculadora!C19</x:f>
        <x:v>2</x:v>
      </x:c>
      <x:c r="D40" s="7" t="n">
        <x:f aca="0">0</x:f>
        <x:v>0</x:v>
      </x:c>
      <x:c r="E40" s="7" t="n">
        <x:f aca="0">0</x:f>
        <x:v>0</x:v>
      </x:c>
      <x:c r="F40" s="2"/>
      <x:c r="G40" s="7" t="n">
        <x:f aca="0">IF(Calculadora!C20="Centro",H36,0)</x:f>
        <x:v>2.9999999999999996</x:v>
      </x:c>
      <x:c r="H40" s="2"/>
      <x:c r="I40" s="2"/>
      <x:c r="J40" s="2"/>
      <x:c r="K40" s="2"/>
      <x:c r="L40" s="2"/>
      <x:c r="M40" s="2"/>
      <x:c r="N40" s="2"/>
      <x:c r="O40" s="2"/>
    </x:row>
    <x:row r="41" ht="23" hidden="0" customHeight="1">
      <x:c r="A41" s="2"/>
      <x:c r="B41" s="7" t="n">
        <x:f aca="0">0</x:f>
        <x:v>0</x:v>
      </x:c>
      <x:c r="C41" s="7" t="n">
        <x:f aca="0">0</x:f>
        <x:v>0</x:v>
      </x:c>
      <x:c r="D41" s="7" t="n">
        <x:f aca="0">Calculadora!C19</x:f>
        <x:v>2</x:v>
      </x:c>
      <x:c r="E41" s="7" t="n">
        <x:f aca="0">0</x:f>
        <x:v>0</x:v>
      </x:c>
      <x:c r="F41" s="2"/>
      <x:c r="G41" s="7" t="n">
        <x:f aca="0">IF(Calculadora!C20="Centro",I36,0)</x:f>
        <x:v>2</x:v>
      </x:c>
      <x:c r="H41" s="2"/>
      <x:c r="I41" s="2"/>
      <x:c r="J41" s="2"/>
      <x:c r="K41" s="2"/>
      <x:c r="L41" s="2"/>
      <x:c r="M41" s="2"/>
      <x:c r="N41" s="2"/>
      <x:c r="O41" s="2"/>
    </x:row>
    <x:row r="42" ht="23" hidden="0" customHeight="1">
      <x:c r="A42" s="2"/>
      <x:c r="B42" s="7" t="n">
        <x:f aca="0">0</x:f>
        <x:v>0</x:v>
      </x:c>
      <x:c r="C42" s="7" t="n">
        <x:f aca="0">0</x:f>
        <x:v>0</x:v>
      </x:c>
      <x:c r="D42" s="7" t="n">
        <x:f aca="0">0</x:f>
        <x:v>0</x:v>
      </x:c>
      <x:c r="E42" s="7" t="n">
        <x:f aca="0">1</x:f>
        <x:v>1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3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3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5" hidden="0" customHeight="1">
      <x:c r="A45" s="2"/>
      <x:c r="B45" s="5" t="s">
        <x:v>61</x:v>
      </x:c>
      <x:c r="C45" s="5"/>
      <x:c r="D45" s="5"/>
      <x:c r="E45" s="5"/>
      <x:c r="F45" s="2"/>
      <x:c r="G45" s="5" t="s">
        <x:v>62</x:v>
      </x:c>
      <x:c r="H45" s="5"/>
      <x:c r="I45" s="5"/>
      <x:c r="J45" s="5"/>
      <x:c r="K45" s="2"/>
      <x:c r="L45" s="2"/>
      <x:c r="M45" s="2"/>
      <x:c r="N45" s="2"/>
      <x:c r="O45" s="2"/>
    </x:row>
    <x:row r="46" ht="23" hidden="0" customHeight="1">
      <x:c r="A46" s="2"/>
      <x:c r="B46" s="7" t="n">
        <x:f aca="0">1</x:f>
        <x:v>1</x:v>
      </x:c>
      <x:c r="C46" s="7" t="n">
        <x:f aca="0">0</x:f>
        <x:v>0</x:v>
      </x:c>
      <x:c r="D46" s="7" t="n">
        <x:f aca="0">0</x:f>
        <x:v>0</x:v>
      </x:c>
      <x:c r="E46" s="7" t="n">
        <x:f aca="0">-1*G39</x:f>
        <x:v>-0.33333333333333365</x:v>
      </x:c>
      <x:c r="F46" s="2"/>
      <x:c r="G46" s="7" t="n">
        <x:f aca="0">1</x:f>
        <x:v>1</x:v>
      </x:c>
      <x:c r="H46" s="7" t="n">
        <x:f aca="0">0</x:f>
        <x:v>0</x:v>
      </x:c>
      <x:c r="I46" s="7" t="n">
        <x:f aca="0">0</x:f>
        <x:v>0</x:v>
      </x:c>
      <x:c r="J46" s="7" t="n">
        <x:f aca="0">1*G39</x:f>
        <x:v>0.33333333333333365</x:v>
      </x:c>
      <x:c r="K46" s="2"/>
      <x:c r="L46" s="2"/>
      <x:c r="M46" s="2"/>
      <x:c r="N46" s="2"/>
      <x:c r="O46" s="2"/>
    </x:row>
    <x:row r="47" ht="23" hidden="0" customHeight="1">
      <x:c r="A47" s="2"/>
      <x:c r="B47" s="7" t="n">
        <x:f aca="0">0</x:f>
        <x:v>0</x:v>
      </x:c>
      <x:c r="C47" s="7" t="n">
        <x:f aca="0">1</x:f>
        <x:v>1</x:v>
      </x:c>
      <x:c r="D47" s="7" t="n">
        <x:f aca="0">0</x:f>
        <x:v>0</x:v>
      </x:c>
      <x:c r="E47" s="7" t="n">
        <x:f aca="0">-1*G40</x:f>
        <x:v>-2.9999999999999996</x:v>
      </x:c>
      <x:c r="F47" s="2"/>
      <x:c r="G47" s="7" t="n">
        <x:f aca="0">0</x:f>
        <x:v>0</x:v>
      </x:c>
      <x:c r="H47" s="7" t="n">
        <x:f aca="0">1</x:f>
        <x:v>1</x:v>
      </x:c>
      <x:c r="I47" s="7" t="n">
        <x:f aca="0">0</x:f>
        <x:v>0</x:v>
      </x:c>
      <x:c r="J47" s="7" t="n">
        <x:f aca="0">1*G40</x:f>
        <x:v>2.9999999999999996</x:v>
      </x:c>
      <x:c r="K47" s="2"/>
      <x:c r="L47" s="2"/>
      <x:c r="M47" s="2"/>
      <x:c r="N47" s="2"/>
      <x:c r="O47" s="2"/>
    </x:row>
    <x:row r="48" ht="23" hidden="0" customHeight="1">
      <x:c r="A48" s="2"/>
      <x:c r="B48" s="7" t="n">
        <x:f aca="0">0</x:f>
        <x:v>0</x:v>
      </x:c>
      <x:c r="C48" s="7" t="n">
        <x:f aca="0">0</x:f>
        <x:v>0</x:v>
      </x:c>
      <x:c r="D48" s="7" t="n">
        <x:f aca="0">1</x:f>
        <x:v>1</x:v>
      </x:c>
      <x:c r="E48" s="7" t="n">
        <x:f aca="0">-1*G41</x:f>
        <x:v>-2</x:v>
      </x:c>
      <x:c r="F48" s="2"/>
      <x:c r="G48" s="7" t="n">
        <x:f aca="0">0</x:f>
        <x:v>0</x:v>
      </x:c>
      <x:c r="H48" s="7" t="n">
        <x:f aca="0">0</x:f>
        <x:v>0</x:v>
      </x:c>
      <x:c r="I48" s="7" t="n">
        <x:f aca="0">1</x:f>
        <x:v>1</x:v>
      </x:c>
      <x:c r="J48" s="7" t="n">
        <x:f aca="0">1*G41</x:f>
        <x:v>2</x:v>
      </x:c>
      <x:c r="K48" s="2"/>
      <x:c r="L48" s="2"/>
      <x:c r="M48" s="2"/>
      <x:c r="N48" s="2"/>
      <x:c r="O48" s="2"/>
    </x:row>
    <x:row r="49" ht="23" hidden="0" customHeight="1">
      <x:c r="A49" s="2"/>
      <x:c r="B49" s="7" t="n">
        <x:f aca="0">0</x:f>
        <x:v>0</x:v>
      </x:c>
      <x:c r="C49" s="7" t="n">
        <x:f aca="0">0</x:f>
        <x:v>0</x:v>
      </x:c>
      <x:c r="D49" s="7" t="n">
        <x:f aca="0">0</x:f>
        <x:v>0</x:v>
      </x:c>
      <x:c r="E49" s="7" t="n">
        <x:f aca="0">1</x:f>
        <x:v>1</x:v>
      </x:c>
      <x:c r="F49" s="2"/>
      <x:c r="G49" s="7" t="n">
        <x:f aca="0">0</x:f>
        <x:v>0</x:v>
      </x:c>
      <x:c r="H49" s="7" t="n">
        <x:f aca="0">0</x:f>
        <x:v>0</x:v>
      </x:c>
      <x:c r="I49" s="7" t="n">
        <x:f aca="0">0</x:f>
        <x:v>0</x:v>
      </x:c>
      <x:c r="J49" s="7" t="n">
        <x:f aca="0">1</x:f>
        <x:v>1</x:v>
      </x:c>
      <x:c r="K49" s="2"/>
      <x:c r="L49" s="2"/>
      <x:c r="M49" s="2"/>
      <x:c r="N49" s="2"/>
      <x:c r="O49" s="2"/>
    </x:row>
    <x:row r="50" ht="23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23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25" hidden="0" customHeight="1">
      <x:c r="A52" s="2"/>
      <x:c r="B52" s="5" t="s">
        <x:v>63</x:v>
      </x:c>
      <x:c r="C52" s="5"/>
      <x:c r="D52" s="5"/>
      <x:c r="E52" s="5"/>
      <x:c r="F52" s="2"/>
      <x:c r="G52" s="5" t="s">
        <x:v>64</x:v>
      </x:c>
      <x:c r="H52" s="5"/>
      <x:c r="I52" s="5"/>
      <x:c r="J52" s="5"/>
      <x:c r="K52" s="2"/>
      <x:c r="L52" s="2"/>
      <x:c r="M52" s="2"/>
      <x:c r="N52" s="2"/>
      <x:c r="O52" s="2"/>
    </x:row>
    <x:row r="53" ht="23" hidden="0" customHeight="1">
      <x:c r="A53" s="2"/>
      <x:c r="B53" s="7" t="n">
        <x:f aca="0">B39</x:f>
        <x:v>2</x:v>
      </x:c>
      <x:c r="C53" s="7" t="n">
        <x:f aca="0">C39</x:f>
        <x:v>0</x:v>
      </x:c>
      <x:c r="D53" s="7" t="n">
        <x:f aca="0">D39</x:f>
        <x:v>0</x:v>
      </x:c>
      <x:c r="E53" s="7" t="n">
        <x:f aca="0">G39*(1-Calculadora!C19)</x:f>
        <x:v>-0.33333333333333365</x:v>
      </x:c>
      <x:c r="F53" s="2"/>
      <x:c r="G53" s="7" t="n">
        <x:f aca="0">B53*G29+C53*G30+D53*G31+E53*G32</x:f>
        <x:v>7.026279441628823</x:v>
      </x:c>
      <x:c r="H53" s="7" t="n">
        <x:f aca="0">B53*H29+C53*H30+D53*H31+E53*H32</x:f>
        <x:v>-4.392304845413261</x:v>
      </x:c>
      <x:c r="I53" s="7" t="n">
        <x:f aca="0">B53*I29+C53*I30+D53*I31+E53*I32</x:f>
        <x:v>-1.6339745962155614</x:v>
      </x:c>
      <x:c r="J53" s="2"/>
      <x:c r="K53" s="2"/>
      <x:c r="L53" s="2"/>
      <x:c r="M53" s="2"/>
      <x:c r="N53" s="2"/>
      <x:c r="O53" s="2"/>
    </x:row>
    <x:row r="54" ht="23" hidden="0" customHeight="1">
      <x:c r="A54" s="2"/>
      <x:c r="B54" s="7" t="n">
        <x:f aca="0">B40</x:f>
        <x:v>0</x:v>
      </x:c>
      <x:c r="C54" s="7" t="n">
        <x:f aca="0">C40</x:f>
        <x:v>2</x:v>
      </x:c>
      <x:c r="D54" s="7" t="n">
        <x:f aca="0">D40</x:f>
        <x:v>0</x:v>
      </x:c>
      <x:c r="E54" s="7" t="n">
        <x:f aca="0">G40*(1-Calculadora!C19)</x:f>
        <x:v>-2.9999999999999996</x:v>
      </x:c>
      <x:c r="F54" s="2"/>
      <x:c r="G54" s="7" t="n">
        <x:f aca="0">B54*G29+C54*G30+D54*G31+E54*G32</x:f>
        <x:v>-7.407477288111819</x:v>
      </x:c>
      <x:c r="H54" s="7" t="n">
        <x:f aca="0">B54*H29+C54*H30+D54*H31+E54*H32</x:f>
        <x:v>18.814954576223638</x:v>
      </x:c>
      <x:c r="I54" s="7" t="n">
        <x:f aca="0">B54*I29+C54*I30+D54*I31+E54*I32</x:f>
        <x:v>-2.407477288111819</x:v>
      </x:c>
      <x:c r="J54" s="2"/>
      <x:c r="K54" s="2"/>
      <x:c r="L54" s="2"/>
      <x:c r="M54" s="2"/>
      <x:c r="N54" s="2"/>
      <x:c r="O54" s="2"/>
    </x:row>
    <x:row r="55" ht="23" hidden="0" customHeight="1">
      <x:c r="A55" s="2"/>
      <x:c r="B55" s="7" t="n">
        <x:f aca="0">B41</x:f>
        <x:v>0</x:v>
      </x:c>
      <x:c r="C55" s="7" t="n">
        <x:f aca="0">C41</x:f>
        <x:v>0</x:v>
      </x:c>
      <x:c r="D55" s="7" t="n">
        <x:f aca="0">D41</x:f>
        <x:v>2</x:v>
      </x:c>
      <x:c r="E55" s="7" t="n">
        <x:f aca="0">G41*(1-Calculadora!C19)</x:f>
        <x:v>-2</x:v>
      </x:c>
      <x:c r="F55" s="2"/>
      <x:c r="G55" s="7" t="n">
        <x:f aca="0">B55*G29+C55*G30+D55*G31+E55*G32</x:f>
        <x:v>2</x:v>
      </x:c>
      <x:c r="H55" s="7" t="n">
        <x:f aca="0">B55*H29+C55*H30+D55*H31+E55*H32</x:f>
        <x:v>2</x:v>
      </x:c>
      <x:c r="I55" s="7" t="n">
        <x:f aca="0">B55*I29+C55*I30+D55*I31+E55*I32</x:f>
        <x:v>2</x:v>
      </x:c>
      <x:c r="J55" s="2"/>
      <x:c r="K55" s="2"/>
      <x:c r="L55" s="2"/>
      <x:c r="M55" s="2"/>
      <x:c r="N55" s="2"/>
      <x:c r="O55" s="2"/>
    </x:row>
    <x:row r="56" ht="23" hidden="0" customHeight="1">
      <x:c r="A56" s="2"/>
      <x:c r="B56" s="7" t="n">
        <x:f aca="0">0</x:f>
        <x:v>0</x:v>
      </x:c>
      <x:c r="C56" s="7" t="n">
        <x:f aca="0">0</x:f>
        <x:v>0</x:v>
      </x:c>
      <x:c r="D56" s="7" t="n">
        <x:f aca="0">0</x:f>
        <x:v>0</x:v>
      </x:c>
      <x:c r="E56" s="7" t="n">
        <x:f aca="0">1</x:f>
        <x:v>1</x:v>
      </x:c>
      <x:c r="F56" s="2"/>
      <x:c r="G56" s="7" t="n">
        <x:f aca="0">B56*G29+C56*G30+D56*G31+E56*G32</x:f>
        <x:v>1</x:v>
      </x:c>
      <x:c r="H56" s="7" t="n">
        <x:f aca="0">B56*H29+C56*H30+D56*H31+E56*H32</x:f>
        <x:v>1</x:v>
      </x:c>
      <x:c r="I56" s="7" t="n">
        <x:f aca="0">B56*I29+C56*I30+D56*I31+E56*I32</x:f>
        <x:v>1</x:v>
      </x:c>
      <x:c r="J56" s="2"/>
      <x:c r="K56" s="2"/>
      <x:c r="L56" s="2"/>
      <x:c r="M56" s="2"/>
      <x:c r="N56" s="2"/>
      <x:c r="O56" s="2"/>
    </x:row>
    <x:row r="57" ht="23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23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25" hidden="0" customHeight="1">
      <x:c r="A59" s="2"/>
      <x:c r="B59" s="5" t="s">
        <x:v>65</x:v>
      </x:c>
      <x:c r="C59" s="5"/>
      <x:c r="D59" s="5"/>
      <x:c r="E59" s="5"/>
      <x:c r="F59" s="2"/>
      <x:c r="G59" s="5" t="s">
        <x:v>66</x:v>
      </x:c>
      <x:c r="H59" s="5"/>
      <x:c r="I59" s="5"/>
      <x:c r="J59" s="5"/>
      <x:c r="K59" s="2"/>
      <x:c r="L59" s="2"/>
      <x:c r="M59" s="2"/>
      <x:c r="N59" s="2"/>
      <x:c r="O59" s="2"/>
    </x:row>
    <x:row r="60" ht="23" hidden="0" customHeight="1">
      <x:c r="A60" s="2"/>
      <x:c r="B60" s="7" t="n">
        <x:f aca="0">B53*B29+C53*B30+D53*B31+E53*B32</x:f>
        <x:v>1.0000000000000002</x:v>
      </x:c>
      <x:c r="C60" s="7" t="n">
        <x:f aca="0">B53*C29+C53*C30+D53*C31+E53*C32</x:f>
        <x:v>-1.7320508075688772</x:v>
      </x:c>
      <x:c r="D60" s="7" t="n">
        <x:f aca="0">B53*D29+C53*D30+D53*D31+E53*D32</x:f>
        <x:v>0</x:v>
      </x:c>
      <x:c r="E60" s="7" t="n">
        <x:f aca="0">B53*E29+C53*E30+D53*E31+E53*E32</x:f>
        <x:v>5.196152422706631</x:v>
      </x:c>
      <x:c r="F60" s="2"/>
      <x:c r="G60" s="7" t="n">
        <x:f aca="0">1</x:f>
        <x:v>1</x:v>
      </x:c>
      <x:c r="H60" s="7" t="n">
        <x:f aca="0">0</x:f>
        <x:v>0</x:v>
      </x:c>
      <x:c r="I60" s="7" t="n">
        <x:f aca="0">0</x:f>
        <x:v>0</x:v>
      </x:c>
      <x:c r="J60" s="7" t="n">
        <x:f aca="0">1*Calculadora!C25</x:f>
        <x:v>0</x:v>
      </x:c>
      <x:c r="K60" s="2"/>
      <x:c r="L60" s="2"/>
      <x:c r="M60" s="2"/>
      <x:c r="N60" s="2"/>
      <x:c r="O60" s="2"/>
    </x:row>
    <x:row r="61" ht="23" hidden="0" customHeight="1">
      <x:c r="A61" s="2"/>
      <x:c r="B61" s="7" t="n">
        <x:f aca="0">B54*B29+C54*B30+D54*B31+E54*B32</x:f>
        <x:v>1.7320508075688772</x:v>
      </x:c>
      <x:c r="C61" s="7" t="n">
        <x:f aca="0">B54*C29+C54*C30+D54*C31+E54*C32</x:f>
        <x:v>1.0000000000000002</x:v>
      </x:c>
      <x:c r="D61" s="7" t="n">
        <x:f aca="0">B54*D29+C54*D30+D54*D31+E54*D32</x:f>
        <x:v>0</x:v>
      </x:c>
      <x:c r="E61" s="7" t="n">
        <x:f aca="0">B54*E29+C54*E30+D54*E31+E54*E32</x:f>
        <x:v>-0.5773502691896266</x:v>
      </x:c>
      <x:c r="F61" s="2"/>
      <x:c r="G61" s="7" t="n">
        <x:f aca="0">0</x:f>
        <x:v>0</x:v>
      </x:c>
      <x:c r="H61" s="7" t="n">
        <x:f aca="0">1</x:f>
        <x:v>1</x:v>
      </x:c>
      <x:c r="I61" s="7" t="n">
        <x:f aca="0">0</x:f>
        <x:v>0</x:v>
      </x:c>
      <x:c r="J61" s="7" t="n">
        <x:f aca="0">1*Calculadora!D25</x:f>
        <x:v>0</x:v>
      </x:c>
      <x:c r="K61" s="2"/>
      <x:c r="L61" s="2"/>
      <x:c r="M61" s="2"/>
      <x:c r="N61" s="2"/>
      <x:c r="O61" s="2"/>
    </x:row>
    <x:row r="62" ht="23" hidden="0" customHeight="1">
      <x:c r="A62" s="2"/>
      <x:c r="B62" s="7" t="n">
        <x:f aca="0">B55*B29+C55*B30+D55*B31+E55*B32</x:f>
        <x:v>0</x:v>
      </x:c>
      <x:c r="C62" s="7" t="n">
        <x:f aca="0">B55*C29+C55*C30+D55*C31+E55*C32</x:f>
        <x:v>0</x:v>
      </x:c>
      <x:c r="D62" s="7" t="n">
        <x:f aca="0">B55*D29+C55*D30+D55*D31+E55*D32</x:f>
        <x:v>2</x:v>
      </x:c>
      <x:c r="E62" s="7" t="n">
        <x:f aca="0">B55*E29+C55*E30+D55*E31+E55*E32</x:f>
        <x:v>-2</x:v>
      </x:c>
      <x:c r="F62" s="2"/>
      <x:c r="G62" s="7" t="n">
        <x:f aca="0">0</x:f>
        <x:v>0</x:v>
      </x:c>
      <x:c r="H62" s="7" t="n">
        <x:f aca="0">0</x:f>
        <x:v>0</x:v>
      </x:c>
      <x:c r="I62" s="7" t="n">
        <x:f aca="0">1</x:f>
        <x:v>1</x:v>
      </x:c>
      <x:c r="J62" s="7" t="n">
        <x:f aca="0">1*Calculadora!E25</x:f>
        <x:v>0</x:v>
      </x:c>
      <x:c r="K62" s="2"/>
      <x:c r="L62" s="2"/>
      <x:c r="M62" s="2"/>
      <x:c r="N62" s="2"/>
      <x:c r="O62" s="2"/>
    </x:row>
    <x:row r="63" ht="23" hidden="0" customHeight="1">
      <x:c r="A63" s="2"/>
      <x:c r="B63" s="7" t="n">
        <x:f aca="0">B56*B29+C56*B30+D56*B31+E56*B32</x:f>
        <x:v>0</x:v>
      </x:c>
      <x:c r="C63" s="7" t="n">
        <x:f aca="0">B56*C29+C56*C30+D56*C31+E56*C32</x:f>
        <x:v>0</x:v>
      </x:c>
      <x:c r="D63" s="7" t="n">
        <x:f aca="0">B56*D29+C56*D30+D56*D31+E56*D32</x:f>
        <x:v>0</x:v>
      </x:c>
      <x:c r="E63" s="7" t="n">
        <x:f aca="0">B56*E29+C56*E30+D56*E31+E56*E32</x:f>
        <x:v>1</x:v>
      </x:c>
      <x:c r="F63" s="2"/>
      <x:c r="G63" s="7" t="n">
        <x:f aca="0">0</x:f>
        <x:v>0</x:v>
      </x:c>
      <x:c r="H63" s="7" t="n">
        <x:f aca="0">0</x:f>
        <x:v>0</x:v>
      </x:c>
      <x:c r="I63" s="7" t="n">
        <x:f aca="0">0</x:f>
        <x:v>0</x:v>
      </x:c>
      <x:c r="J63" s="7" t="n">
        <x:f aca="0">1</x:f>
        <x:v>1</x:v>
      </x:c>
      <x:c r="K63" s="2"/>
      <x:c r="L63" s="2"/>
      <x:c r="M63" s="2"/>
      <x:c r="N63" s="2"/>
      <x:c r="O63" s="2"/>
    </x:row>
    <x:row r="64" ht="23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23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25" hidden="0" customHeight="1">
      <x:c r="A66" s="2"/>
      <x:c r="B66" s="5" t="s">
        <x:v>67</x:v>
      </x:c>
      <x:c r="C66" s="5"/>
      <x:c r="D66" s="5"/>
      <x:c r="E66" s="5"/>
      <x:c r="F66" s="2"/>
      <x:c r="G66" s="5" t="s">
        <x:v>21</x:v>
      </x:c>
      <x:c r="H66" s="5"/>
      <x:c r="I66" s="5"/>
      <x:c r="J66" s="5"/>
      <x:c r="K66" s="2"/>
      <x:c r="L66" s="2"/>
      <x:c r="M66" s="2"/>
      <x:c r="N66" s="2"/>
      <x:c r="O66" s="2"/>
    </x:row>
    <x:row r="67" ht="23" hidden="0" customHeight="1">
      <x:c r="A67" s="2"/>
      <x:c r="B67" s="7" t="n">
        <x:f aca="0">G60*B60+H60*B61+I60*B62+J60*B63</x:f>
        <x:v>1.0000000000000002</x:v>
      </x:c>
      <x:c r="C67" s="7" t="n">
        <x:f aca="0">G60*C60+H60*C61+I60*C62+J60*C63</x:f>
        <x:v>-1.7320508075688772</x:v>
      </x:c>
      <x:c r="D67" s="7" t="n">
        <x:f aca="0">G60*D60+H60*D61+I60*D62+J60*D63</x:f>
        <x:v>0</x:v>
      </x:c>
      <x:c r="E67" s="7" t="n">
        <x:f aca="0">G60*E60+H60*E61+I60*E62+J60*E63</x:f>
        <x:v>5.196152422706631</x:v>
      </x:c>
      <x:c r="F67" s="2"/>
      <x:c r="G67" s="7" t="n">
        <x:f aca="0">B67*B8+C67*B9+D67*B10+E67*B11</x:f>
        <x:v>7.026279441628823</x:v>
      </x:c>
      <x:c r="H67" s="7" t="n">
        <x:f aca="0">B67*C8+C67*C9+D67*C10+E67*C11</x:f>
        <x:v>-4.392304845413261</x:v>
      </x:c>
      <x:c r="I67" s="7" t="n">
        <x:f aca="0">B67*D8+C67*D9+D67*D10+E67*D11</x:f>
        <x:v>-1.6339745962155616</x:v>
      </x:c>
      <x:c r="J67" s="2"/>
      <x:c r="K67" s="2"/>
      <x:c r="L67" s="2"/>
      <x:c r="M67" s="2"/>
      <x:c r="N67" s="2"/>
      <x:c r="O67" s="2"/>
    </x:row>
    <x:row r="68" ht="23" hidden="0" customHeight="1">
      <x:c r="A68" s="2"/>
      <x:c r="B68" s="7" t="n">
        <x:f aca="0">G61*B60+H61*B61+I61*B62+J61*B63</x:f>
        <x:v>1.7320508075688772</x:v>
      </x:c>
      <x:c r="C68" s="7" t="n">
        <x:f aca="0">G61*C60+H61*C61+I61*C62+J61*C63</x:f>
        <x:v>1.0000000000000002</x:v>
      </x:c>
      <x:c r="D68" s="7" t="n">
        <x:f aca="0">G61*D60+H61*D61+I61*D62+J61*D63</x:f>
        <x:v>0</x:v>
      </x:c>
      <x:c r="E68" s="7" t="n">
        <x:f aca="0">G61*E60+H61*E61+I61*E62+J61*E63</x:f>
        <x:v>-0.5773502691896266</x:v>
      </x:c>
      <x:c r="F68" s="2"/>
      <x:c r="G68" s="7" t="n">
        <x:f aca="0">B68*B8+C68*B9+D68*B10+E68*B11</x:f>
        <x:v>-7.407477288111819</x:v>
      </x:c>
      <x:c r="H68" s="7" t="n">
        <x:f aca="0">B68*C8+C68*C9+D68*C10+E68*C11</x:f>
        <x:v>18.814954576223638</x:v>
      </x:c>
      <x:c r="I68" s="7" t="n">
        <x:f aca="0">B68*D8+C68*D9+D68*D10+E68*D11</x:f>
        <x:v>-2.407477288111819</x:v>
      </x:c>
      <x:c r="J68" s="2"/>
      <x:c r="K68" s="2"/>
      <x:c r="L68" s="2"/>
      <x:c r="M68" s="2"/>
      <x:c r="N68" s="2"/>
      <x:c r="O68" s="2"/>
    </x:row>
    <x:row r="69" ht="23" hidden="0" customHeight="1">
      <x:c r="A69" s="2"/>
      <x:c r="B69" s="7" t="n">
        <x:f aca="0">G62*B60+H62*B61+I62*B62+J62*B63</x:f>
        <x:v>0</x:v>
      </x:c>
      <x:c r="C69" s="7" t="n">
        <x:f aca="0">G62*C60+H62*C61+I62*C62+J62*C63</x:f>
        <x:v>0</x:v>
      </x:c>
      <x:c r="D69" s="7" t="n">
        <x:f aca="0">G62*D60+H62*D61+I62*D62+J62*D63</x:f>
        <x:v>2</x:v>
      </x:c>
      <x:c r="E69" s="7" t="n">
        <x:f aca="0">G62*E60+H62*E61+I62*E62+J62*E63</x:f>
        <x:v>-2</x:v>
      </x:c>
      <x:c r="F69" s="2"/>
      <x:c r="G69" s="7" t="n">
        <x:f aca="0">B69*B8+C69*B9+D69*B10+E69*B11</x:f>
        <x:v>2</x:v>
      </x:c>
      <x:c r="H69" s="7" t="n">
        <x:f aca="0">B69*C8+C69*C9+D69*C10+E69*C11</x:f>
        <x:v>2</x:v>
      </x:c>
      <x:c r="I69" s="7" t="n">
        <x:f aca="0">B69*D8+C69*D9+D69*D10+E69*D11</x:f>
        <x:v>2</x:v>
      </x:c>
      <x:c r="J69" s="2"/>
      <x:c r="K69" s="2"/>
      <x:c r="L69" s="2"/>
      <x:c r="M69" s="2"/>
      <x:c r="N69" s="2"/>
      <x:c r="O69" s="2"/>
    </x:row>
    <x:row r="70" ht="23" hidden="0" customHeight="1">
      <x:c r="A70" s="2"/>
      <x:c r="B70" s="7" t="n">
        <x:f aca="0">G63*B60+H63*B61+I63*B62+J63*B63</x:f>
        <x:v>0</x:v>
      </x:c>
      <x:c r="C70" s="7" t="n">
        <x:f aca="0">G63*C60+H63*C61+I63*C62+J63*C63</x:f>
        <x:v>0</x:v>
      </x:c>
      <x:c r="D70" s="7" t="n">
        <x:f aca="0">G63*D60+H63*D61+I63*D62+J63*D63</x:f>
        <x:v>0</x:v>
      </x:c>
      <x:c r="E70" s="7" t="n">
        <x:f aca="0">G63*E60+H63*E61+I63*E62+J63*E63</x:f>
        <x:v>1</x:v>
      </x:c>
      <x:c r="F70" s="2"/>
      <x:c r="G70" s="7" t="n">
        <x:f aca="0">B70*B8+C70*B9+D70*B10+E70*B11</x:f>
        <x:v>1</x:v>
      </x:c>
      <x:c r="H70" s="7" t="n">
        <x:f aca="0">B70*C8+C70*C9+D70*C10+E70*C11</x:f>
        <x:v>1</x:v>
      </x:c>
      <x:c r="I70" s="7" t="n">
        <x:f aca="0">B70*D8+C70*D9+D70*D10+E70*D11</x:f>
        <x:v>1</x:v>
      </x:c>
      <x:c r="J70" s="2"/>
      <x:c r="K70" s="2"/>
      <x:c r="L70" s="2"/>
      <x:c r="M70" s="2"/>
      <x:c r="N70" s="2"/>
      <x:c r="O70" s="2"/>
    </x:row>
    <x:row r="71" ht="23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23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25" hidden="0" customHeight="1">
      <x:c r="A73" s="2"/>
      <x:c r="B73" s="5" t="s">
        <x:v>68</x:v>
      </x:c>
      <x:c r="C73" s="5"/>
      <x:c r="D73" s="5"/>
      <x:c r="E73" s="5"/>
      <x:c r="F73" s="2"/>
      <x:c r="G73" s="5" t="s">
        <x:v>69</x:v>
      </x:c>
      <x:c r="H73" s="5"/>
      <x:c r="I73" s="5"/>
      <x:c r="J73" s="5"/>
      <x:c r="K73" s="2"/>
      <x:c r="L73" s="2"/>
      <x:c r="M73" s="2"/>
      <x:c r="N73" s="2"/>
      <x:c r="O73" s="2"/>
    </x:row>
    <x:row r="74" ht="23" hidden="0" customHeight="1">
      <x:c r="A74" s="2"/>
      <x:c r="B74" s="11" t="n">
        <x:f aca="0">Calculadora!C30</x:f>
        <x:v>3</x:v>
      </x:c>
      <x:c r="C74" s="2"/>
      <x:c r="D74" s="2"/>
      <x:c r="E74" s="2"/>
      <x:c r="F74" s="2"/>
      <x:c r="G74" s="11" t="n">
        <x:f aca="0">IF(Calculadora!C31="Origem",0,IF(Calculadora!C31="Centro",SUM(G67:I67)/3,Calculadora!C32))</x:f>
        <x:v>0.3333333333333333</x:v>
      </x:c>
      <x:c r="H74" s="2"/>
      <x:c r="I74" s="2"/>
      <x:c r="J74" s="2"/>
      <x:c r="K74" s="2"/>
      <x:c r="L74" s="2"/>
      <x:c r="M74" s="2"/>
      <x:c r="N74" s="2"/>
      <x:c r="O74" s="2"/>
    </x:row>
    <x:row r="75" ht="23" hidden="0" customHeight="1">
      <x:c r="A75" s="2"/>
      <x:c r="B75" s="11" t="n">
        <x:f aca="0">Calculadora!D30</x:f>
        <x:v>32</x:v>
      </x:c>
      <x:c r="C75" s="2"/>
      <x:c r="D75" s="2"/>
      <x:c r="E75" s="2"/>
      <x:c r="F75" s="2"/>
      <x:c r="G75" s="11" t="n">
        <x:f aca="0">IF(Calculadora!C31="Origem",0,IF(Calculadora!C31="Centro",SUM(G68:I68)/3,Calculadora!D32))</x:f>
        <x:v>3</x:v>
      </x:c>
      <x:c r="H75" s="2"/>
      <x:c r="I75" s="2"/>
      <x:c r="J75" s="2"/>
      <x:c r="K75" s="2"/>
      <x:c r="L75" s="2"/>
      <x:c r="M75" s="2"/>
      <x:c r="N75" s="2"/>
      <x:c r="O75" s="2"/>
    </x:row>
    <x:row r="76" ht="23" hidden="0" customHeight="1">
      <x:c r="A76" s="2"/>
      <x:c r="B76" s="11" t="n">
        <x:f aca="0">Calculadora!E30</x:f>
        <x:v>1</x:v>
      </x:c>
      <x:c r="C76" s="2"/>
      <x:c r="D76" s="2"/>
      <x:c r="E76" s="2"/>
      <x:c r="F76" s="2"/>
      <x:c r="G76" s="11" t="n">
        <x:f aca="0">IF(Calculadora!C31="Origem",0,IF(Calculadora!C31="Centro",SUM(G69:I69)/3,Calculadora!E32))</x:f>
        <x:v>2</x:v>
      </x:c>
      <x:c r="H76" s="2"/>
      <x:c r="I76" s="2"/>
      <x:c r="J76" s="2"/>
      <x:c r="K76" s="2"/>
      <x:c r="L76" s="2"/>
      <x:c r="M76" s="2"/>
      <x:c r="N76" s="2"/>
      <x:c r="O76" s="2"/>
    </x:row>
    <x:row r="77" ht="23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23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25" hidden="0" customHeight="1">
      <x:c r="A79" s="2"/>
      <x:c r="B79" s="5" t="s">
        <x:v>70</x:v>
      </x:c>
      <x:c r="C79" s="5"/>
      <x:c r="D79" s="5"/>
      <x:c r="E79" s="5"/>
      <x:c r="F79" s="2"/>
      <x:c r="G79" s="5" t="s">
        <x:v>71</x:v>
      </x:c>
      <x:c r="H79" s="5"/>
      <x:c r="I79" s="5"/>
      <x:c r="J79" s="5"/>
      <x:c r="K79" s="2"/>
      <x:c r="L79" s="2"/>
      <x:c r="M79" s="2"/>
      <x:c r="N79" s="2"/>
      <x:c r="O79" s="2"/>
    </x:row>
    <x:row r="80" ht="23" hidden="0" customHeight="1">
      <x:c r="A80" s="2"/>
      <x:c r="B80" s="11" t="n">
        <x:f aca="0">IF(B84=0,0,(G74-B74)/IF(B84=0,1,B84))</x:f>
        <x:v>-0.09151377493227673</x:v>
      </x:c>
      <x:c r="C80" s="2"/>
      <x:c r="D80" s="2"/>
      <x:c r="E80" s="2"/>
      <x:c r="F80" s="2"/>
      <x:c r="G80" s="11" t="n">
        <x:f aca="0">IF(G84=0,0,(B81*Calculadora!E33-B82*Calculadora!D33)/IF(G84=0,1,G84))</x:f>
        <x:v>-0.3511234415883917</x:v>
      </x:c>
      <x:c r="H80" s="2"/>
      <x:c r="I80" s="2"/>
      <x:c r="J80" s="2"/>
      <x:c r="K80" s="2"/>
      <x:c r="L80" s="2"/>
      <x:c r="M80" s="2"/>
      <x:c r="N80" s="2"/>
      <x:c r="O80" s="2"/>
    </x:row>
    <x:row r="81" ht="23" hidden="0" customHeight="1">
      <x:c r="A81" s="2"/>
      <x:c r="B81" s="11" t="n">
        <x:f aca="0">IF(B84=0,0,(G75-B75)/IF(B84=0,1,B84))</x:f>
        <x:v>-0.9952123023885097</x:v>
      </x:c>
      <x:c r="C81" s="2"/>
      <x:c r="D81" s="2"/>
      <x:c r="E81" s="2"/>
      <x:c r="F81" s="2"/>
      <x:c r="G81" s="11" t="n">
        <x:f aca="0">IF(G84=0,0,(B82*Calculadora!C33-B80*Calculadora!E33)/IF(G84=0,1,G84))</x:f>
        <x:v>0</x:v>
      </x:c>
      <x:c r="H81" s="2"/>
      <x:c r="I81" s="2"/>
      <x:c r="J81" s="2"/>
      <x:c r="K81" s="2"/>
      <x:c r="L81" s="2"/>
      <x:c r="M81" s="2"/>
      <x:c r="N81" s="2"/>
      <x:c r="O81" s="2"/>
    </x:row>
    <x:row r="82" ht="23" hidden="0" customHeight="1">
      <x:c r="A82" s="2"/>
      <x:c r="B82" s="11" t="n">
        <x:f aca="0">IF(B84=0,0,(G76-B76)/IF(B84=0,1,B84))</x:f>
        <x:v>0.03431766559960378</x:v>
      </x:c>
      <x:c r="C82" s="2"/>
      <x:c r="D82" s="2"/>
      <x:c r="E82" s="2"/>
      <x:c r="F82" s="2"/>
      <x:c r="G82" s="11" t="n">
        <x:f aca="0">IF(G84=0,0,(B80*Calculadora!D33-B81*Calculadora!C33)/IF(G84=0,1,G84))</x:f>
        <x:v>-0.9363291775690444</x:v>
      </x:c>
      <x:c r="H82" s="2"/>
      <x:c r="I82" s="2"/>
      <x:c r="J82" s="2"/>
      <x:c r="K82" s="2"/>
      <x:c r="L82" s="2"/>
      <x:c r="M82" s="2"/>
      <x:c r="N82" s="2"/>
      <x:c r="O82" s="2"/>
    </x:row>
    <x:row r="83" ht="23" hidden="0" customHeight="1">
      <x:c r="A83" s="2"/>
      <x:c r="B83" s="11"/>
      <x:c r="C83" s="2"/>
      <x:c r="D83" s="2"/>
      <x:c r="E83" s="2"/>
      <x:c r="F83" s="2"/>
      <x:c r="G83" s="11"/>
      <x:c r="H83" s="2"/>
      <x:c r="I83" s="2"/>
      <x:c r="J83" s="2"/>
      <x:c r="K83" s="2"/>
      <x:c r="L83" s="2"/>
      <x:c r="M83" s="2"/>
      <x:c r="N83" s="2"/>
      <x:c r="O83" s="2"/>
    </x:row>
    <x:row r="84" ht="23" hidden="0" customHeight="1">
      <x:c r="A84" s="2"/>
      <x:c r="B84" s="11" t="n">
        <x:f aca="0">SQRT((G74-B74)^2+(G75-B75)^2+(G76-B76)^2)</x:f>
        <x:v>29.139511168019123</x:v>
      </x:c>
      <x:c r="C84" s="2"/>
      <x:c r="D84" s="2"/>
      <x:c r="E84" s="2"/>
      <x:c r="F84" s="2"/>
      <x:c r="G84" s="11" t="n">
        <x:f aca="0">SQRT((B81*Calculadora!E33-B82*Calculadora!D33)^2+(B82*Calculadora!C33-B80*Calculadora!E33)^2+(B80*Calculadora!D33-B81*Calculadora!C33)^2)</x:f>
        <x:v>0.09773675447118976</x:v>
      </x:c>
      <x:c r="H84" s="2"/>
      <x:c r="I84" s="2"/>
      <x:c r="J84" s="2"/>
      <x:c r="K84" s="2"/>
      <x:c r="L84" s="2"/>
      <x:c r="M84" s="2"/>
      <x:c r="N84" s="2"/>
      <x:c r="O84" s="2"/>
    </x:row>
    <x:row r="85" ht="23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 ht="25" hidden="0" customHeight="1">
      <x:c r="A86" s="2"/>
      <x:c r="B86" s="5" t="s">
        <x:v>72</x:v>
      </x:c>
      <x:c r="C86" s="5"/>
      <x:c r="D86" s="5"/>
      <x:c r="E86" s="5"/>
      <x:c r="F86" s="2"/>
      <x:c r="G86" s="5" t="s">
        <x:v>73</x:v>
      </x:c>
      <x:c r="H86" s="5"/>
      <x:c r="I86" s="5"/>
      <x:c r="J86" s="5"/>
      <x:c r="K86" s="2"/>
      <x:c r="L86" s="2"/>
      <x:c r="M86" s="2"/>
      <x:c r="N86" s="2"/>
      <x:c r="O86" s="2"/>
    </x:row>
    <x:row r="87" ht="23" hidden="0" customHeight="1">
      <x:c r="A87" s="2"/>
      <x:c r="B87" s="11" t="n">
        <x:f aca="0">G81*B82-G82*B81</x:f>
        <x:v>-0.9318463166020284</x:v>
      </x:c>
      <x:c r="C87" s="2"/>
      <x:c r="D87" s="2"/>
      <x:c r="E87" s="2"/>
      <x:c r="F87" s="2"/>
      <x:c r="G87" s="7" t="n">
        <x:f aca="0">G80</x:f>
        <x:v>-0.3511234415883917</x:v>
      </x:c>
      <x:c r="H87" s="7" t="n">
        <x:f aca="0">G81</x:f>
        <x:v>0</x:v>
      </x:c>
      <x:c r="I87" s="7" t="n">
        <x:f aca="0">G82</x:f>
        <x:v>-0.9363291775690444</x:v>
      </x:c>
      <x:c r="J87" s="7" t="n">
        <x:f aca="0">-(G80)*B74-(G81)*B75-(G82)*B76</x:f>
        <x:v>1.9896995023342194</x:v>
      </x:c>
      <x:c r="K87" s="2"/>
      <x:c r="L87" s="2"/>
      <x:c r="M87" s="2"/>
      <x:c r="N87" s="2"/>
      <x:c r="O87" s="2"/>
    </x:row>
    <x:row r="88" ht="23" hidden="0" customHeight="1">
      <x:c r="A88" s="2"/>
      <x:c r="B88" s="11" t="n">
        <x:f aca="0">G82*B80-G80*B82</x:f>
        <x:v>0.09773675447118974</x:v>
      </x:c>
      <x:c r="C88" s="2"/>
      <x:c r="D88" s="2"/>
      <x:c r="E88" s="2"/>
      <x:c r="F88" s="2"/>
      <x:c r="G88" s="7" t="n">
        <x:f aca="0">B87</x:f>
        <x:v>-0.9318463166020284</x:v>
      </x:c>
      <x:c r="H88" s="7" t="n">
        <x:f aca="0">B88</x:f>
        <x:v>0.09773675447118974</x:v>
      </x:c>
      <x:c r="I88" s="7" t="n">
        <x:f aca="0">B89</x:f>
        <x:v>0.3494423687257607</x:v>
      </x:c>
      <x:c r="J88" s="7" t="n">
        <x:f aca="0">-(B87)*B74-(B88)*B75-(B89)*B76</x:f>
        <x:v>-0.6814795619977467</x:v>
      </x:c>
      <x:c r="K88" s="2"/>
      <x:c r="L88" s="2"/>
      <x:c r="M88" s="2"/>
      <x:c r="N88" s="2"/>
      <x:c r="O88" s="2"/>
    </x:row>
    <x:row r="89" ht="23" hidden="0" customHeight="1">
      <x:c r="A89" s="2"/>
      <x:c r="B89" s="11" t="n">
        <x:f aca="0">G80*B81-G81*B80</x:f>
        <x:v>0.3494423687257607</x:v>
      </x:c>
      <x:c r="C89" s="2"/>
      <x:c r="D89" s="2"/>
      <x:c r="E89" s="2"/>
      <x:c r="F89" s="2"/>
      <x:c r="G89" s="7" t="n">
        <x:f aca="0">-B80</x:f>
        <x:v>0.09151377493227673</x:v>
      </x:c>
      <x:c r="H89" s="7" t="n">
        <x:f aca="0">-B81</x:f>
        <x:v>0.9952123023885097</x:v>
      </x:c>
      <x:c r="I89" s="7" t="n">
        <x:f aca="0">-B82</x:f>
        <x:v>-0.03431766559960378</x:v>
      </x:c>
      <x:c r="J89" s="7" t="n">
        <x:f aca="0">-(-B80)*B74-(-B81)*B75-(-B82)*B76</x:f>
        <x:v>-32.08701733562954</x:v>
      </x:c>
      <x:c r="K89" s="2"/>
      <x:c r="L89" s="2"/>
      <x:c r="M89" s="2"/>
      <x:c r="N89" s="2"/>
      <x:c r="O89" s="2"/>
    </x:row>
    <x:row r="90" ht="23" hidden="0" customHeight="1">
      <x:c r="A90" s="2"/>
      <x:c r="B90" s="2"/>
      <x:c r="C90" s="2"/>
      <x:c r="D90" s="2"/>
      <x:c r="E90" s="2"/>
      <x:c r="F90" s="2"/>
      <x:c r="G90" s="7" t="n">
        <x:f aca="0">0</x:f>
        <x:v>0</x:v>
      </x:c>
      <x:c r="H90" s="7" t="n">
        <x:f aca="0">0</x:f>
        <x:v>0</x:v>
      </x:c>
      <x:c r="I90" s="7" t="n">
        <x:f aca="0">0</x:f>
        <x:v>0</x:v>
      </x:c>
      <x:c r="J90" s="7" t="n">
        <x:f aca="0">1</x:f>
        <x:v>1</x:v>
      </x:c>
      <x:c r="K90" s="2"/>
      <x:c r="L90" s="2"/>
      <x:c r="M90" s="2"/>
      <x:c r="N90" s="2"/>
      <x:c r="O90" s="2"/>
    </x:row>
    <x:row r="91" ht="23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 ht="23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 ht="25" hidden="0" customHeight="1">
      <x:c r="A93" s="2"/>
      <x:c r="B93" s="5" t="s">
        <x:v>74</x:v>
      </x:c>
      <x:c r="C93" s="5"/>
      <x:c r="D93" s="5"/>
      <x:c r="E93" s="5"/>
      <x:c r="F93" s="2"/>
      <x:c r="G93" s="5" t="s">
        <x:v>75</x:v>
      </x:c>
      <x:c r="H93" s="5"/>
      <x:c r="I93" s="5"/>
      <x:c r="J93" s="5"/>
      <x:c r="K93" s="2"/>
      <x:c r="L93" s="2"/>
      <x:c r="M93" s="2"/>
      <x:c r="N93" s="2"/>
      <x:c r="O93" s="2"/>
    </x:row>
    <x:row r="94" ht="23" hidden="0" customHeight="1">
      <x:c r="A94" s="2"/>
      <x:c r="B94" s="7" t="n">
        <x:f aca="0">IF(OR(Calculadora!C37&lt;=0,Calculadora!C37&gt;=180,Calculadora!E38&lt;=0,Calculadora!C38&lt;=0),0,IF(Calculadora!E37="Horizontal",1/TAN(Calculadora!C37*PI()/360),(1/TAN(Calculadora!C37*PI()/360))/(Calculadora!C38/Calculadora!E38)))</x:f>
        <x:v>1.2990381056766582</x:v>
      </x:c>
      <x:c r="C94" s="7" t="n">
        <x:f aca="0">0</x:f>
        <x:v>0</x:v>
      </x:c>
      <x:c r="D94" s="7" t="n">
        <x:f aca="0">0</x:f>
        <x:v>0</x:v>
      </x:c>
      <x:c r="E94" s="7" t="n">
        <x:f aca="0">0</x:f>
        <x:v>0</x:v>
      </x:c>
      <x:c r="F94" s="2"/>
      <x:c r="G94" s="7" t="n">
        <x:f aca="0">G87*B67+H87*B68+I87*B69+J87*B70</x:f>
        <x:v>-0.35112344158839176</x:v>
      </x:c>
      <x:c r="H94" s="7" t="n">
        <x:f aca="0">G87*C67+H87*C68+I87*C69+J87*C70</x:f>
        <x:v>0.6081636405595373</x:v>
      </x:c>
      <x:c r="I94" s="7" t="n">
        <x:f aca="0">G87*D67+H87*D68+I87*D69+J87*D70</x:f>
        <x:v>-1.8726583551380889</x:v>
      </x:c>
      <x:c r="J94" s="7" t="n">
        <x:f aca="0">G87*E67+H87*E68+I87*E69+J87*E70</x:f>
        <x:v>2.0378669357936965</x:v>
      </x:c>
      <x:c r="K94" s="2"/>
      <x:c r="L94" s="2"/>
      <x:c r="M94" s="2"/>
      <x:c r="N94" s="2"/>
      <x:c r="O94" s="2"/>
    </x:row>
    <x:row r="95" ht="23" hidden="0" customHeight="1">
      <x:c r="A95" s="2"/>
      <x:c r="B95" s="7" t="n">
        <x:f aca="0">0</x:f>
        <x:v>0</x:v>
      </x:c>
      <x:c r="C95" s="7" t="n">
        <x:f aca="0">IF(OR(Calculadora!C37&lt;=0,Calculadora!C37&gt;=180,Calculadora!E38&lt;=0,Calculadora!C38&lt;=0),0,IF(Calculadora!E37="Vertical",1/TAN(Calculadora!C37*PI()/360),(1/TAN(Calculadora!C37*PI()/360))*(Calculadora!C38/Calculadora!E38)))</x:f>
        <x:v>1.7320508075688774</x:v>
      </x:c>
      <x:c r="D95" s="7" t="n">
        <x:f aca="0">0</x:f>
        <x:v>0</x:v>
      </x:c>
      <x:c r="E95" s="7" t="n">
        <x:f aca="0">0</x:f>
        <x:v>0</x:v>
      </x:c>
      <x:c r="F95" s="2"/>
      <x:c r="G95" s="7" t="n">
        <x:f aca="0">G88*B67+H88*B68+I88*B69+J88*B70</x:f>
        <x:v>-0.7625612920910434</x:v>
      </x:c>
      <x:c r="H95" s="7" t="n">
        <x:f aca="0">G88*C67+H88*C68+I88*C69+J88*C70</x:f>
        <x:v>1.7117419196718167</x:v>
      </x:c>
      <x:c r="I95" s="7" t="n">
        <x:f aca="0">G88*D67+H88*D68+I88*D69+J88*D70</x:f>
        <x:v>0.6988847374515214</x:v>
      </x:c>
      <x:c r="J95" s="7" t="n">
        <x:f aca="0">G88*E67+H88*E68+I88*E69+J88*E70</x:f>
        <x:v>-6.278808136554811</x:v>
      </x:c>
      <x:c r="K95" s="2"/>
      <x:c r="L95" s="2"/>
      <x:c r="M95" s="2"/>
      <x:c r="N95" s="2"/>
      <x:c r="O95" s="2"/>
    </x:row>
    <x:row r="96" ht="23" hidden="0" customHeight="1">
      <x:c r="A96" s="2"/>
      <x:c r="B96" s="7" t="n">
        <x:f aca="0">0</x:f>
        <x:v>0</x:v>
      </x:c>
      <x:c r="C96" s="7" t="n">
        <x:f aca="0">0</x:f>
        <x:v>0</x:v>
      </x:c>
      <x:c r="D96" s="7" t="n">
        <x:f aca="0">IF(Calculadora!E39=Calculadora!C39,0,-(Calculadora!E39+Calculadora!C39)/IF(Calculadora!E39=Calculadora!C39,1,Calculadora!E39-Calculadora!C39))</x:f>
        <x:v>-1.0833333333333333</x:v>
      </x:c>
      <x:c r="E96" s="7" t="n">
        <x:f aca="0">IF(Calculadora!E39=Calculadora!C39,0,-2*Calculadora!E39*Calculadora!C39/IF(Calculadora!E39=Calculadora!C39,1,Calculadora!E39-Calculadora!C39))</x:f>
        <x:v>-2.0833333333333335</x:v>
      </x:c>
      <x:c r="F96" s="2"/>
      <x:c r="G96" s="7" t="n">
        <x:f aca="0">G89*B67+H89*B68+I89*B69+J89*B70</x:f>
        <x:v>1.8152720469867765</x:v>
      </x:c>
      <x:c r="H96" s="7" t="n">
        <x:f aca="0">G89*C67+H89*C68+I89*C69+J89*C70</x:f>
        <x:v>0.8367057946133835</x:v>
      </x:c>
      <x:c r="I96" s="7" t="n">
        <x:f aca="0">G89*D67+H89*D68+I89*D69+J89*D70</x:f>
        <x:v>-0.06863533119920756</x:v>
      </x:c>
      <x:c r="J96" s="7" t="n">
        <x:f aca="0">G89*E67+H89*E68+I89*E69+J89*E70</x:f>
        <x:v>-32.11744857178979</x:v>
      </x:c>
      <x:c r="K96" s="2"/>
      <x:c r="L96" s="2"/>
      <x:c r="M96" s="2"/>
      <x:c r="N96" s="2"/>
      <x:c r="O96" s="2"/>
    </x:row>
    <x:row r="97" ht="23" hidden="0" customHeight="1">
      <x:c r="A97" s="2"/>
      <x:c r="B97" s="7" t="n">
        <x:f aca="0">0</x:f>
        <x:v>0</x:v>
      </x:c>
      <x:c r="C97" s="7" t="n">
        <x:f aca="0">0</x:f>
        <x:v>0</x:v>
      </x:c>
      <x:c r="D97" s="7" t="n">
        <x:f aca="0">-1</x:f>
        <x:v>-1</x:v>
      </x:c>
      <x:c r="E97" s="7" t="n">
        <x:f aca="0">0</x:f>
        <x:v>0</x:v>
      </x:c>
      <x:c r="F97" s="2"/>
      <x:c r="G97" s="7" t="n">
        <x:f aca="0">G90*B67+H90*B68+I90*B69+J90*B70</x:f>
        <x:v>0</x:v>
      </x:c>
      <x:c r="H97" s="7" t="n">
        <x:f aca="0">G90*C67+H90*C68+I90*C69+J90*C70</x:f>
        <x:v>0</x:v>
      </x:c>
      <x:c r="I97" s="7" t="n">
        <x:f aca="0">G90*D67+H90*D68+I90*D69+J90*D70</x:f>
        <x:v>0</x:v>
      </x:c>
      <x:c r="J97" s="7" t="n">
        <x:f aca="0">G90*E67+H90*E68+I90*E69+J90*E70</x:f>
        <x:v>1</x:v>
      </x:c>
      <x:c r="K97" s="2"/>
      <x:c r="L97" s="2"/>
      <x:c r="M97" s="2"/>
      <x:c r="N97" s="2"/>
      <x:c r="O97" s="2"/>
    </x:row>
    <x:row r="98" ht="23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 ht="23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 ht="25" hidden="0" customHeight="1">
      <x:c r="A100" s="2"/>
      <x:c r="B100" s="5" t="s">
        <x:v>76</x:v>
      </x:c>
      <x:c r="C100" s="5"/>
      <x:c r="D100" s="5"/>
      <x:c r="E100" s="5"/>
      <x:c r="F100" s="2"/>
      <x:c r="G100" s="5" t="s">
        <x:v>77</x:v>
      </x:c>
      <x:c r="H100" s="5"/>
      <x:c r="I100" s="5"/>
      <x:c r="J100" s="5"/>
      <x:c r="K100" s="2"/>
      <x:c r="L100" s="2"/>
      <x:c r="M100" s="2"/>
      <x:c r="N100" s="2"/>
      <x:c r="O100" s="2"/>
    </x:row>
    <x:row r="101" ht="23" hidden="0" customHeight="1">
      <x:c r="A101" s="2"/>
      <x:c r="B101" s="7" t="n">
        <x:f aca="0">B94*G94+C94*G95+D94*G96+E94*G97</x:f>
        <x:v>-0.4561227304196532</x:v>
      </x:c>
      <x:c r="C101" s="7" t="n">
        <x:f aca="0">B94*H94+C94*H95+D94*H96+E94*H97</x:f>
        <x:v>0.7900277435738814</x:v>
      </x:c>
      <x:c r="D101" s="7" t="n">
        <x:f aca="0">B94*I94+C94*I95+D94*I96+E94*I97</x:f>
        <x:v>-2.4326545622381497</x:v>
      </x:c>
      <x:c r="E101" s="7" t="n">
        <x:f aca="0">B94*J94+C94*J95+D94*J96+E94*J97</x:f>
        <x:v>2.6472668038945395</x:v>
      </x:c>
      <x:c r="F101" s="2"/>
      <x:c r="G101" s="7" t="n">
        <x:f aca="0">B101*B8+C101*B9+D101*B10+E101*B11</x:f>
        <x:v>-3.0528048534673307</x:v>
      </x:c>
      <x:c r="H101" s="7" t="n">
        <x:f aca="0">B101*C8+C101*C9+D101*C10+E101*C11</x:f>
        <x:v>2.155470989065254</x:v>
      </x:c>
      <x:c r="I101" s="7" t="n">
        <x:f aca="0">B101*D8+C101*D9+D101*D10+E101*D11</x:f>
        <x:v>0.8973338644020767</x:v>
      </x:c>
      <x:c r="J101" s="2"/>
      <x:c r="K101" s="2"/>
      <x:c r="L101" s="2"/>
      <x:c r="M101" s="2"/>
      <x:c r="N101" s="2"/>
      <x:c r="O101" s="2"/>
    </x:row>
    <x:row r="102" ht="23" hidden="0" customHeight="1">
      <x:c r="A102" s="2"/>
      <x:c r="B102" s="7" t="n">
        <x:f aca="0">B95*G94+C95*G95+D95*G96+E95*G97</x:f>
        <x:v>-1.3207949017870584</x:v>
      </x:c>
      <x:c r="C102" s="7" t="n">
        <x:f aca="0">B95*H94+C95*H95+D95*H96+E95*H97</x:f>
        <x:v>2.9648239743170706</x:v>
      </x:c>
      <x:c r="D102" s="7" t="n">
        <x:f aca="0">B95*I94+C95*I95+D95*I96+E95*I97</x:f>
        <x:v>1.2105038739004703</x:v>
      </x:c>
      <x:c r="E102" s="7" t="n">
        <x:f aca="0">B95*J94+C95*J95+D95*J96+E95*J97</x:f>
        <x:v>-10.875214703489798</x:v>
      </x:c>
      <x:c r="F102" s="2"/>
      <x:c r="G102" s="7" t="n">
        <x:f aca="0">B102*B8+C102*B9+D102*B10+E102*B11</x:f>
        <x:v>-12.564279637013888</x:v>
      </x:c>
      <x:c r="H102" s="7" t="n">
        <x:f aca="0">B102*C8+C102*C9+D102*C10+E102*C11</x:f>
        <x:v>10.304439402442432</x:v>
      </x:c>
      <x:c r="I102" s="7" t="n">
        <x:f aca="0">B102*D8+C102*D9+D102*D10+E102*D11</x:f>
        <x:v>2.259840234571465</x:v>
      </x:c>
      <x:c r="J102" s="2"/>
      <x:c r="K102" s="2"/>
      <x:c r="L102" s="2"/>
      <x:c r="M102" s="2"/>
      <x:c r="N102" s="2"/>
      <x:c r="O102" s="2"/>
    </x:row>
    <x:row r="103" ht="23" hidden="0" customHeight="1">
      <x:c r="A103" s="2"/>
      <x:c r="B103" s="7" t="n">
        <x:f aca="0">B96*G94+C96*G95+D96*G96+E96*G97</x:f>
        <x:v>-1.9665447175690076</x:v>
      </x:c>
      <x:c r="C103" s="7" t="n">
        <x:f aca="0">B96*H94+C96*H95+D96*H96+E96*H97</x:f>
        <x:v>-0.906431277497832</x:v>
      </x:c>
      <x:c r="D103" s="7" t="n">
        <x:f aca="0">B96*I94+C96*I95+D96*I96+E96*I97</x:f>
        <x:v>0.07435494213247486</x:v>
      </x:c>
      <x:c r="E103" s="7" t="n">
        <x:f aca="0">B96*J94+C96*J95+D96*J96+E96*J97</x:f>
        <x:v>32.710569286105596</x:v>
      </x:c>
      <x:c r="F103" s="2"/>
      <x:c r="G103" s="7" t="n">
        <x:f aca="0">B103*B8+C103*B9+D103*B10+E103*B11</x:f>
        <x:v>40.041719158037644</x:v>
      </x:c>
      <x:c r="H103" s="7" t="n">
        <x:f aca="0">B103*C8+C103*C9+D103*C10+E103*C11</x:f>
        <x:v>12.902129367476011</x:v>
      </x:c>
      <x:c r="I103" s="7" t="n">
        <x:f aca="0">B103*D8+C103*D9+D103*D10+E103*D11</x:f>
        <x:v>35.509562770548484</x:v>
      </x:c>
      <x:c r="J103" s="2"/>
      <x:c r="K103" s="2"/>
      <x:c r="L103" s="2"/>
      <x:c r="M103" s="2"/>
      <x:c r="N103" s="2"/>
      <x:c r="O103" s="2"/>
    </x:row>
    <x:row r="104" ht="23" hidden="0" customHeight="1">
      <x:c r="A104" s="2"/>
      <x:c r="B104" s="7" t="n">
        <x:f aca="0">B97*G94+C97*G95+D97*G96+E97*G97</x:f>
        <x:v>-1.8152720469867765</x:v>
      </x:c>
      <x:c r="C104" s="7" t="n">
        <x:f aca="0">B97*H94+C97*H95+D97*H96+E97*H97</x:f>
        <x:v>-0.8367057946133835</x:v>
      </x:c>
      <x:c r="D104" s="7" t="n">
        <x:f aca="0">B97*I94+C97*I95+D97*I96+E97*I97</x:f>
        <x:v>0.06863533119920756</x:v>
      </x:c>
      <x:c r="E104" s="7" t="n">
        <x:f aca="0">B97*J94+C97*J95+D97*J96+E97*J97</x:f>
        <x:v>32.11744857178979</x:v>
      </x:c>
      <x:c r="F104" s="2"/>
      <x:c r="G104" s="7" t="n">
        <x:f aca="0">B104*B8+C104*B9+D104*B10+E104*B11</x:f>
        <x:v>38.8846638381886</x:v>
      </x:c>
      <x:c r="H104" s="7" t="n">
        <x:f aca="0">B104*C8+C104*C9+D104*C10+E104*C11</x:f>
        <x:v>13.83273480074709</x:v>
      </x:c>
      <x:c r="I104" s="7" t="n">
        <x:f aca="0">B104*D8+C104*D9+D104*D10+E104*D11</x:f>
        <x:v>34.70113486512169</x:v>
      </x:c>
      <x:c r="J104" s="2"/>
      <x:c r="K104" s="2"/>
      <x:c r="L104" s="2"/>
      <x:c r="M104" s="2"/>
      <x:c r="N104" s="2"/>
      <x:c r="O104" s="2"/>
    </x:row>
    <x:row r="105" ht="23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 ht="23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 ht="23" hidden="0" customHeight="1">
      <x:c r="A107" s="2"/>
      <x:c r="B107" s="2" t="s">
        <x:v>78</x:v>
      </x:c>
      <x:c r="C107" s="2" t="str">
        <x:f aca="0">IF(COUNT(Calculadora!C8:E10)&lt;&gt;9,"Preencha os três vértices",IF(COUNT(Calculadora!C14,Calculadora!C19,Calculadora!C25:E25,Calculadora!C30:E30,Calculadora!C32:E33,Calculadora!C37,Calculadora!C38,Calculadora!E38,Calculadora!C39,Calculadora!E39)&lt;&gt;19,"Preencha as configurações",IF(OR(Calculadora!C37&lt;=0,Calculadora!C37&gt;=180,Calculadora!C38&lt;=0,Calculadora!E38&lt;=0,Calculadora!C39&lt;=0,Calculadora!E39&lt;=Calculadora!C39),"Confira FOV, janela e planos",IF(B84=0,"Olho igual ao target",IF(G84=0,"Up nulo ou paralelo à câmera","OK")))))</x:f>
        <x:v>OK</x:v>
      </x:c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 ht="23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 ht="23" hidden="0" customHeight="1">
      <x:c r="A109" s="2"/>
      <x:c r="B109" s="2" t="s">
        <x:v>79</x:v>
      </x:c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 ht="23" hidden="0" customHeight="1">
      <x:c r="A110" s="2"/>
      <x:c r="B110" s="2" t="s">
        <x:v>80</x:v>
      </x:c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 ht="23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 ht="23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 ht="25" hidden="0" customHeight="1">
      <x:c r="A113" s="2"/>
      <x:c r="B113" s="5" t="s">
        <x:v>81</x:v>
      </x:c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</x:row>
    <x:row r="114" ht="23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 ht="23" hidden="0" customHeight="1">
      <x:c r="A115" s="2"/>
      <x:c r="B115" s="2" t="s">
        <x:v>82</x:v>
      </x:c>
      <x:c r="C115" s="2" t="s">
        <x:v>9</x:v>
      </x:c>
      <x:c r="D115" s="2" t="s">
        <x:v>10</x:v>
      </x:c>
      <x:c r="E115" s="2" t="s">
        <x:v>11</x:v>
      </x:c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 ht="23" hidden="0" customHeight="1">
      <x:c r="A116" s="2"/>
      <x:c r="B116" s="2" t="s">
        <x:v>83</x:v>
      </x:c>
      <x:c r="C116" s="11" t="n">
        <x:f aca="0">G104+G101</x:f>
        <x:v>35.83185898472127</x:v>
      </x:c>
      <x:c r="D116" s="11" t="n">
        <x:f aca="0">H104+H101</x:f>
        <x:v>15.988205789812344</x:v>
      </x:c>
      <x:c r="E116" s="11" t="n">
        <x:f aca="0">I104+I101</x:f>
        <x:v>35.598468729523766</x:v>
      </x:c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 ht="23" hidden="0" customHeight="1">
      <x:c r="A117" s="2"/>
      <x:c r="B117" s="2" t="s">
        <x:v>84</x:v>
      </x:c>
      <x:c r="C117" s="11" t="n">
        <x:f aca="0">G104-G101</x:f>
        <x:v>41.93746869165593</x:v>
      </x:c>
      <x:c r="D117" s="11" t="n">
        <x:f aca="0">H104-H101</x:f>
        <x:v>11.677263811681836</x:v>
      </x:c>
      <x:c r="E117" s="11" t="n">
        <x:f aca="0">I104-I101</x:f>
        <x:v>33.80380100071961</x:v>
      </x:c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 ht="23" hidden="0" customHeight="1">
      <x:c r="A118" s="2"/>
      <x:c r="B118" s="2" t="s">
        <x:v>85</x:v>
      </x:c>
      <x:c r="C118" s="11" t="n">
        <x:f aca="0">G104+G102</x:f>
        <x:v>26.32038420117471</x:v>
      </x:c>
      <x:c r="D118" s="11" t="n">
        <x:f aca="0">H104+H102</x:f>
        <x:v>24.137174203189524</x:v>
      </x:c>
      <x:c r="E118" s="11" t="n">
        <x:f aca="0">I104+I102</x:f>
        <x:v>36.96097509969315</x:v>
      </x:c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 ht="23" hidden="0" customHeight="1">
      <x:c r="A119" s="2"/>
      <x:c r="B119" s="2" t="s">
        <x:v>86</x:v>
      </x:c>
      <x:c r="C119" s="11" t="n">
        <x:f aca="0">G104-G102</x:f>
        <x:v>51.44894347520249</x:v>
      </x:c>
      <x:c r="D119" s="11" t="n">
        <x:f aca="0">H104-H102</x:f>
        <x:v>3.5282953983046585</x:v>
      </x:c>
      <x:c r="E119" s="11" t="n">
        <x:f aca="0">I104-I102</x:f>
        <x:v>32.441294630550225</x:v>
      </x:c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 ht="23" hidden="0" customHeight="1">
      <x:c r="A120" s="2"/>
      <x:c r="B120" s="2" t="s">
        <x:v>87</x:v>
      </x:c>
      <x:c r="C120" s="11" t="n">
        <x:f aca="0">G104+G103</x:f>
        <x:v>78.92638299622624</x:v>
      </x:c>
      <x:c r="D120" s="11" t="n">
        <x:f aca="0">H104+H103</x:f>
        <x:v>26.7348641682231</x:v>
      </x:c>
      <x:c r="E120" s="11" t="n">
        <x:f aca="0">I104+I103</x:f>
        <x:v>70.21069763567017</x:v>
      </x:c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 ht="23" hidden="0" customHeight="1">
      <x:c r="A121" s="2"/>
      <x:c r="B121" s="2" t="s">
        <x:v>88</x:v>
      </x:c>
      <x:c r="C121" s="11" t="n">
        <x:f aca="0">G104-G103</x:f>
        <x:v>-1.157055319849043</x:v>
      </x:c>
      <x:c r="D121" s="11" t="n">
        <x:f aca="0">H104-H103</x:f>
        <x:v>0.9306054332710794</x:v>
      </x:c>
      <x:c r="E121" s="11" t="n">
        <x:f aca="0">I104-I103</x:f>
        <x:v>-0.8084279054267967</x:v>
      </x:c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 ht="23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 ht="23" hidden="0" customHeight="1">
      <x:c r="A123" s="2"/>
      <x:c r="B123" s="2" t="s">
        <x:v>89</x:v>
      </x:c>
      <x:c r="C123" s="2" t="str">
        <x:f aca="0">IF(C107&lt;&gt;"OK",C107,IF(MIN(C116:E121)&gt;=-0.000000001,"Dentro do volume",IF(SUM(O138:O173)&gt;0,"Parcialmente no volume","Fora do volume")))</x:f>
        <x:v>Parcialmente no volume</x:v>
      </x:c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 ht="23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 ht="23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 ht="23" hidden="0" customHeight="1">
      <x:c r="A126" s="2"/>
      <x:c r="B126" s="2" t="s">
        <x:v>90</x:v>
      </x:c>
      <x:c r="C126" s="2" t="s">
        <x:v>91</x:v>
      </x:c>
      <x:c r="D126" s="2" t="s">
        <x:v>92</x:v>
      </x:c>
      <x:c r="E126" s="2" t="s">
        <x:v>93</x:v>
      </x:c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 ht="23" hidden="0" customHeight="1">
      <x:c r="A127" s="2"/>
      <x:c r="B127" s="2" t="s">
        <x:v>94</x:v>
      </x:c>
      <x:c r="C127" s="11" t="n">
        <x:v>1</x:v>
      </x:c>
      <x:c r="D127" s="11" t="n">
        <x:v>0</x:v>
      </x:c>
      <x:c r="E127" s="11" t="n">
        <x:v>0</x:v>
      </x:c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 ht="23" hidden="0" customHeight="1">
      <x:c r="A128" s="2"/>
      <x:c r="B128" s="2" t="s">
        <x:v>95</x:v>
      </x:c>
      <x:c r="C128" s="11" t="n">
        <x:v>0</x:v>
      </x:c>
      <x:c r="D128" s="11" t="n">
        <x:v>1</x:v>
      </x:c>
      <x:c r="E128" s="11" t="n">
        <x:v>0</x:v>
      </x:c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 ht="23" hidden="0" customHeight="1">
      <x:c r="A129" s="2"/>
      <x:c r="B129" s="2" t="s">
        <x:v>96</x:v>
      </x:c>
      <x:c r="C129" s="11" t="n">
        <x:v>-1</x:v>
      </x:c>
      <x:c r="D129" s="11" t="n">
        <x:v>-1</x:v>
      </x:c>
      <x:c r="E129" s="11" t="n">
        <x:v>1</x:v>
      </x:c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 ht="23" hidden="0" customHeight="1">
      <x:c r="A130" s="2"/>
      <x:c r="B130" s="2" t="s">
        <x:v>97</x:v>
      </x:c>
      <x:c r="C130" s="11" t="n">
        <x:f aca="0">D116-C116</x:f>
        <x:v>-19.843653194908928</x:v>
      </x:c>
      <x:c r="D130" s="11" t="n">
        <x:f aca="0">E116-C116</x:f>
        <x:v>-0.23339025519750578</x:v>
      </x:c>
      <x:c r="E130" s="11" t="n">
        <x:f aca="0">C116</x:f>
        <x:v>35.83185898472127</x:v>
      </x:c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 ht="23" hidden="0" customHeight="1">
      <x:c r="A131" s="2"/>
      <x:c r="B131" s="2" t="s">
        <x:v>98</x:v>
      </x:c>
      <x:c r="C131" s="11" t="n">
        <x:f aca="0">D117-C117</x:f>
        <x:v>-30.260204879974093</x:v>
      </x:c>
      <x:c r="D131" s="11" t="n">
        <x:f aca="0">E117-C117</x:f>
        <x:v>-8.13366769093632</x:v>
      </x:c>
      <x:c r="E131" s="11" t="n">
        <x:f aca="0">C117</x:f>
        <x:v>41.93746869165593</x:v>
      </x:c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 ht="23" hidden="0" customHeight="1">
      <x:c r="A132" s="2"/>
      <x:c r="B132" s="2" t="s">
        <x:v>99</x:v>
      </x:c>
      <x:c r="C132" s="11" t="n">
        <x:f aca="0">D118-C118</x:f>
        <x:v>-2.1832099979851876</x:v>
      </x:c>
      <x:c r="D132" s="11" t="n">
        <x:f aca="0">E118-C118</x:f>
        <x:v>10.64059089851844</x:v>
      </x:c>
      <x:c r="E132" s="11" t="n">
        <x:f aca="0">C118</x:f>
        <x:v>26.32038420117471</x:v>
      </x:c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 ht="23" hidden="0" customHeight="1">
      <x:c r="A133" s="2"/>
      <x:c r="B133" s="2" t="s">
        <x:v>100</x:v>
      </x:c>
      <x:c r="C133" s="11" t="n">
        <x:f aca="0">D119-C119</x:f>
        <x:v>-47.920648076897834</x:v>
      </x:c>
      <x:c r="D133" s="11" t="n">
        <x:f aca="0">E119-C119</x:f>
        <x:v>-19.007648844652266</x:v>
      </x:c>
      <x:c r="E133" s="11" t="n">
        <x:f aca="0">C119</x:f>
        <x:v>51.44894347520249</x:v>
      </x:c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 ht="23" hidden="0" customHeight="1">
      <x:c r="A134" s="2"/>
      <x:c r="B134" s="2" t="s">
        <x:v>101</x:v>
      </x:c>
      <x:c r="C134" s="11" t="n">
        <x:f aca="0">D120-C120</x:f>
        <x:v>-52.19151882800314</x:v>
      </x:c>
      <x:c r="D134" s="11" t="n">
        <x:f aca="0">E120-C120</x:f>
        <x:v>-8.715685360556066</x:v>
      </x:c>
      <x:c r="E134" s="11" t="n">
        <x:f aca="0">C120</x:f>
        <x:v>78.92638299622624</x:v>
      </x:c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 ht="23" hidden="0" customHeight="1">
      <x:c r="A135" s="2"/>
      <x:c r="B135" s="2" t="s">
        <x:v>102</x:v>
      </x:c>
      <x:c r="C135" s="11" t="n">
        <x:f aca="0">D121-C121</x:f>
        <x:v>2.0876607531201223</x:v>
      </x:c>
      <x:c r="D135" s="11" t="n">
        <x:f aca="0">E121-C121</x:f>
        <x:v>0.3486274144222463</x:v>
      </x:c>
      <x:c r="E135" s="11" t="n">
        <x:f aca="0">C121</x:f>
        <x:v>-1.157055319849043</x:v>
      </x:c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 ht="23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 ht="23" hidden="0" customHeight="1">
      <x:c r="A137" s="2"/>
      <x:c r="B137" s="2" t="s">
        <x:v>103</x:v>
      </x:c>
      <x:c r="C137" s="2" t="s">
        <x:v>104</x:v>
      </x:c>
      <x:c r="D137" s="2" t="s">
        <x:v>105</x:v>
      </x:c>
      <x:c r="E137" s="2" t="s">
        <x:v>106</x:v>
      </x:c>
      <x:c r="F137" s="2" t="s">
        <x:v>107</x:v>
      </x:c>
      <x:c r="G137" s="2" t="s">
        <x:v>108</x:v>
      </x:c>
      <x:c r="H137" s="2" t="s">
        <x:v>109</x:v>
      </x:c>
      <x:c r="I137" s="2" t="s">
        <x:v>110</x:v>
      </x:c>
      <x:c r="J137" s="2" t="s">
        <x:v>111</x:v>
      </x:c>
      <x:c r="K137" s="2" t="s">
        <x:v>112</x:v>
      </x:c>
      <x:c r="L137" s="2" t="s">
        <x:v>113</x:v>
      </x:c>
      <x:c r="M137" s="2" t="s">
        <x:v>114</x:v>
      </x:c>
      <x:c r="N137" s="2" t="s">
        <x:v>115</x:v>
      </x:c>
      <x:c r="O137" s="2" t="s">
        <x:v>116</x:v>
      </x:c>
    </x:row>
    <x:row r="138" ht="23" hidden="0" customHeight="1">
      <x:c r="A138" s="2"/>
      <x:c r="B138" s="2" t="s">
        <x:v>117</x:v>
      </x:c>
      <x:c r="C138" s="11" t="n">
        <x:f aca="0">C127*D128-C128*D127</x:f>
        <x:v>1</x:v>
      </x:c>
      <x:c r="D138" s="11" t="n">
        <x:f aca="0">(D127*E128-D128*E127)/IF(OR(C138=0,ABS(C138)&lt;0.00000001),1,C138)</x:f>
        <x:v>0</x:v>
      </x:c>
      <x:c r="E138" s="11" t="n">
        <x:f aca="0">(E127*C128-E128*C127)/IF(OR(C138=0,ABS(C138)&lt;0.00000001),1,C138)</x:f>
        <x:v>0</x:v>
      </x:c>
      <x:c r="F138" s="11" t="n">
        <x:f aca="0">$C$127*D138+$D$127*E138+$E$127</x:f>
        <x:v>0</x:v>
      </x:c>
      <x:c r="G138" s="11" t="n">
        <x:f aca="0">$C$128*D138+$D$128*E138+$E$128</x:f>
        <x:v>0</x:v>
      </x:c>
      <x:c r="H138" s="11" t="n">
        <x:f aca="0">$C$129*D138+$D$129*E138+$E$129</x:f>
        <x:v>1</x:v>
      </x:c>
      <x:c r="I138" s="11" t="n">
        <x:f aca="0">$C$130*D138+$D$130*E138+$E$130</x:f>
        <x:v>35.83185898472127</x:v>
      </x:c>
      <x:c r="J138" s="11" t="n">
        <x:f aca="0">$C$131*D138+$D$131*E138+$E$131</x:f>
        <x:v>41.93746869165593</x:v>
      </x:c>
      <x:c r="K138" s="11" t="n">
        <x:f aca="0">$C$132*D138+$D$132*E138+$E$132</x:f>
        <x:v>26.32038420117471</x:v>
      </x:c>
      <x:c r="L138" s="11" t="n">
        <x:f aca="0">$C$133*D138+$D$133*E138+$E$133</x:f>
        <x:v>51.44894347520249</x:v>
      </x:c>
      <x:c r="M138" s="11" t="n">
        <x:f aca="0">$C$134*D138+$D$134*E138+$E$134</x:f>
        <x:v>78.92638299622624</x:v>
      </x:c>
      <x:c r="N138" s="11" t="n">
        <x:f aca="0">$C$135*D138+$D$135*E138+$E$135</x:f>
        <x:v>-1.157055319849043</x:v>
      </x:c>
      <x:c r="O138" s="2" t="n">
        <x:f aca="0">IF(AND(C138&lt;&gt;0,ABS(C138)&gt;=0.00000001,MIN(F138:N138)&gt;=-0.000000001),1,0)</x:f>
        <x:v>0</x:v>
      </x:c>
    </x:row>
    <x:row r="139" ht="23" hidden="0" customHeight="1">
      <x:c r="A139" s="2"/>
      <x:c r="B139" s="2" t="s">
        <x:v>118</x:v>
      </x:c>
      <x:c r="C139" s="11" t="n">
        <x:f aca="0">C127*D129-C129*D127</x:f>
        <x:v>-1</x:v>
      </x:c>
      <x:c r="D139" s="11" t="n">
        <x:f aca="0">(D127*E129-D129*E127)/IF(OR(C139=0,ABS(C139)&lt;0.00000001),1,C139)</x:f>
        <x:v>0</x:v>
      </x:c>
      <x:c r="E139" s="11" t="n">
        <x:f aca="0">(E127*C129-E129*C127)/IF(OR(C139=0,ABS(C139)&lt;0.00000001),1,C139)</x:f>
        <x:v>1</x:v>
      </x:c>
      <x:c r="F139" s="11" t="n">
        <x:f aca="0">$C$127*D139+$D$127*E139+$E$127</x:f>
        <x:v>0</x:v>
      </x:c>
      <x:c r="G139" s="11" t="n">
        <x:f aca="0">$C$128*D139+$D$128*E139+$E$128</x:f>
        <x:v>1</x:v>
      </x:c>
      <x:c r="H139" s="11" t="n">
        <x:f aca="0">$C$129*D139+$D$129*E139+$E$129</x:f>
        <x:v>0</x:v>
      </x:c>
      <x:c r="I139" s="11" t="n">
        <x:f aca="0">$C$130*D139+$D$130*E139+$E$130</x:f>
        <x:v>35.598468729523766</x:v>
      </x:c>
      <x:c r="J139" s="11" t="n">
        <x:f aca="0">$C$131*D139+$D$131*E139+$E$131</x:f>
        <x:v>33.80380100071961</x:v>
      </x:c>
      <x:c r="K139" s="11" t="n">
        <x:f aca="0">$C$132*D139+$D$132*E139+$E$132</x:f>
        <x:v>36.96097509969315</x:v>
      </x:c>
      <x:c r="L139" s="11" t="n">
        <x:f aca="0">$C$133*D139+$D$133*E139+$E$133</x:f>
        <x:v>32.441294630550225</x:v>
      </x:c>
      <x:c r="M139" s="11" t="n">
        <x:f aca="0">$C$134*D139+$D$134*E139+$E$134</x:f>
        <x:v>70.21069763567017</x:v>
      </x:c>
      <x:c r="N139" s="11" t="n">
        <x:f aca="0">$C$135*D139+$D$135*E139+$E$135</x:f>
        <x:v>-0.8084279054267967</x:v>
      </x:c>
      <x:c r="O139" s="2" t="n">
        <x:f aca="0">IF(AND(C139&lt;&gt;0,ABS(C139)&gt;=0.00000001,MIN(F139:N139)&gt;=-0.000000001),1,0)</x:f>
        <x:v>0</x:v>
      </x:c>
    </x:row>
    <x:row r="140" ht="23" hidden="0" customHeight="1">
      <x:c r="A140" s="2"/>
      <x:c r="B140" s="2" t="s">
        <x:v>119</x:v>
      </x:c>
      <x:c r="C140" s="11" t="n">
        <x:f aca="0">C127*D130-C130*D127</x:f>
        <x:v>-0.23339025519750578</x:v>
      </x:c>
      <x:c r="D140" s="11" t="n">
        <x:f aca="0">(D127*E130-D130*E127)/IF(OR(C140=0,ABS(C140)&lt;0.00000001),1,C140)</x:f>
        <x:v>0</x:v>
      </x:c>
      <x:c r="E140" s="11" t="n">
        <x:f aca="0">(E127*C130-E130*C127)/IF(OR(C140=0,ABS(C140)&lt;0.00000001),1,C140)</x:f>
        <x:v>153.5276567327058</x:v>
      </x:c>
      <x:c r="F140" s="11" t="n">
        <x:f aca="0">$C$127*D140+$D$127*E140+$E$127</x:f>
        <x:v>0</x:v>
      </x:c>
      <x:c r="G140" s="11" t="n">
        <x:f aca="0">$C$128*D140+$D$128*E140+$E$128</x:f>
        <x:v>153.5276567327058</x:v>
      </x:c>
      <x:c r="H140" s="11" t="n">
        <x:f aca="0">$C$129*D140+$D$129*E140+$E$129</x:f>
        <x:v>-152.5276567327058</x:v>
      </x:c>
      <x:c r="I140" s="11" t="n">
        <x:f aca="0">$C$130*D140+$D$130*E140+$E$130</x:f>
        <x:v>0</x:v>
      </x:c>
      <x:c r="J140" s="11" t="n">
        <x:f aca="0">$C$131*D140+$D$131*E140+$E$131</x:f>
        <x:v>-1206.8054725403151</x:v>
      </x:c>
      <x:c r="K140" s="11" t="n">
        <x:f aca="0">$C$132*D140+$D$132*E140+$E$132</x:f>
        <x:v>1659.9453711020672</x:v>
      </x:c>
      <x:c r="L140" s="11" t="n">
        <x:f aca="0">$C$133*D140+$D$133*E140+$E$133</x:f>
        <x:v>-2866.7508436423823</x:v>
      </x:c>
      <x:c r="M140" s="11" t="n">
        <x:f aca="0">$C$134*D140+$D$134*E140+$E$134</x:f>
        <x:v>-1259.1723672294945</x:v>
      </x:c>
      <x:c r="N140" s="11" t="n">
        <x:f aca="0">$C$135*D140+$D$135*E140+$E$135</x:f>
        <x:v>52.366894689180356</x:v>
      </x:c>
      <x:c r="O140" s="2" t="n">
        <x:f aca="0">IF(AND(C140&lt;&gt;0,ABS(C140)&gt;=0.00000001,MIN(F140:N140)&gt;=-0.000000001),1,0)</x:f>
        <x:v>0</x:v>
      </x:c>
    </x:row>
    <x:row r="141" ht="23" hidden="0" customHeight="1">
      <x:c r="A141" s="2"/>
      <x:c r="B141" s="2" t="s">
        <x:v>120</x:v>
      </x:c>
      <x:c r="C141" s="11" t="n">
        <x:f aca="0">C127*D131-C131*D127</x:f>
        <x:v>-8.13366769093632</x:v>
      </x:c>
      <x:c r="D141" s="11" t="n">
        <x:f aca="0">(D127*E131-D131*E127)/IF(OR(C141=0,ABS(C141)&lt;0.00000001),1,C141)</x:f>
        <x:v>0</x:v>
      </x:c>
      <x:c r="E141" s="11" t="n">
        <x:f aca="0">(E127*C131-E131*C127)/IF(OR(C141=0,ABS(C141)&lt;0.00000001),1,C141)</x:f>
        <x:v>5.156034188412759</x:v>
      </x:c>
      <x:c r="F141" s="11" t="n">
        <x:f aca="0">$C$127*D141+$D$127*E141+$E$127</x:f>
        <x:v>0</x:v>
      </x:c>
      <x:c r="G141" s="11" t="n">
        <x:f aca="0">$C$128*D141+$D$128*E141+$E$128</x:f>
        <x:v>5.156034188412759</x:v>
      </x:c>
      <x:c r="H141" s="11" t="n">
        <x:f aca="0">$C$129*D141+$D$129*E141+$E$129</x:f>
        <x:v>-4.156034188412759</x:v>
      </x:c>
      <x:c r="I141" s="11" t="n">
        <x:f aca="0">$C$130*D141+$D$130*E141+$E$130</x:f>
        <x:v>34.62849084968055</x:v>
      </x:c>
      <x:c r="J141" s="11" t="n">
        <x:f aca="0">$C$131*D141+$D$131*E141+$E$131</x:f>
        <x:v>0</x:v>
      </x:c>
      <x:c r="K141" s="11" t="n">
        <x:f aca="0">$C$132*D141+$D$132*E141+$E$132</x:f>
        <x:v>81.18363465884943</x:v>
      </x:c>
      <x:c r="L141" s="11" t="n">
        <x:f aca="0">$C$133*D141+$D$133*E141+$E$133</x:f>
        <x:v>-46.555143809168875</x:v>
      </x:c>
      <x:c r="M141" s="11" t="n">
        <x:f aca="0">$C$134*D141+$D$134*E141+$E$134</x:f>
        <x:v>33.988011301750575</x:v>
      </x:c>
      <x:c r="N141" s="11" t="n">
        <x:f aca="0">$C$135*D141+$D$135*E141+$E$135</x:f>
        <x:v>0.6404795479300025</x:v>
      </x:c>
      <x:c r="O141" s="2" t="n">
        <x:f aca="0">IF(AND(C141&lt;&gt;0,ABS(C141)&gt;=0.00000001,MIN(F141:N141)&gt;=-0.000000001),1,0)</x:f>
        <x:v>0</x:v>
      </x:c>
    </x:row>
    <x:row r="142" ht="23" hidden="0" customHeight="1">
      <x:c r="A142" s="2"/>
      <x:c r="B142" s="2" t="s">
        <x:v>121</x:v>
      </x:c>
      <x:c r="C142" s="11" t="n">
        <x:f aca="0">C127*D132-C132*D127</x:f>
        <x:v>10.64059089851844</x:v>
      </x:c>
      <x:c r="D142" s="11" t="n">
        <x:f aca="0">(D127*E132-D132*E127)/IF(OR(C142=0,ABS(C142)&lt;0.00000001),1,C142)</x:f>
        <x:v>0</x:v>
      </x:c>
      <x:c r="E142" s="11" t="n">
        <x:f aca="0">(E127*C132-E132*C127)/IF(OR(C142=0,ABS(C142)&lt;0.00000001),1,C142)</x:f>
        <x:v>-2.4735829478078584</x:v>
      </x:c>
      <x:c r="F142" s="11" t="n">
        <x:f aca="0">$C$127*D142+$D$127*E142+$E$127</x:f>
        <x:v>0</x:v>
      </x:c>
      <x:c r="G142" s="11" t="n">
        <x:f aca="0">$C$128*D142+$D$128*E142+$E$128</x:f>
        <x:v>-2.4735829478078584</x:v>
      </x:c>
      <x:c r="H142" s="11" t="n">
        <x:f aca="0">$C$129*D142+$D$129*E142+$E$129</x:f>
        <x:v>3.4735829478078584</x:v>
      </x:c>
      <x:c r="I142" s="11" t="n">
        <x:f aca="0">$C$130*D142+$D$130*E142+$E$130</x:f>
        <x:v>36.40916914016235</x:v>
      </x:c>
      <x:c r="J142" s="11" t="n">
        <x:f aca="0">$C$131*D142+$D$131*E142+$E$131</x:f>
        <x:v>62.05677039509173</x:v>
      </x:c>
      <x:c r="K142" s="11" t="n">
        <x:f aca="0">$C$132*D142+$D$132*E142+$E$132</x:f>
        <x:v>0</x:v>
      </x:c>
      <x:c r="L142" s="11" t="n">
        <x:f aca="0">$C$133*D142+$D$133*E142+$E$133</x:f>
        <x:v>98.46593953525408</x:v>
      </x:c>
      <x:c r="M142" s="11" t="n">
        <x:f aca="0">$C$134*D142+$D$134*E142+$E$134</x:f>
        <x:v>100.48535368255631</x:v>
      </x:c>
      <x:c r="N142" s="11" t="n">
        <x:f aca="0">$C$135*D142+$D$135*E142+$E$135</x:f>
        <x:v>-2.019414147302255</x:v>
      </x:c>
      <x:c r="O142" s="2" t="n">
        <x:f aca="0">IF(AND(C142&lt;&gt;0,ABS(C142)&gt;=0.00000001,MIN(F142:N142)&gt;=-0.000000001),1,0)</x:f>
        <x:v>0</x:v>
      </x:c>
    </x:row>
    <x:row r="143" ht="23" hidden="0" customHeight="1">
      <x:c r="A143" s="2"/>
      <x:c r="B143" s="2" t="s">
        <x:v>122</x:v>
      </x:c>
      <x:c r="C143" s="11" t="n">
        <x:f aca="0">C127*D133-C133*D127</x:f>
        <x:v>-19.007648844652266</x:v>
      </x:c>
      <x:c r="D143" s="11" t="n">
        <x:f aca="0">(D127*E133-D133*E127)/IF(OR(C143=0,ABS(C143)&lt;0.00000001),1,C143)</x:f>
        <x:v>0</x:v>
      </x:c>
      <x:c r="E143" s="11" t="n">
        <x:f aca="0">(E127*C133-E133*C127)/IF(OR(C143=0,ABS(C143)&lt;0.00000001),1,C143)</x:f>
        <x:v>2.706749472051482</x:v>
      </x:c>
      <x:c r="F143" s="11" t="n">
        <x:f aca="0">$C$127*D143+$D$127*E143+$E$127</x:f>
        <x:v>0</x:v>
      </x:c>
      <x:c r="G143" s="11" t="n">
        <x:f aca="0">$C$128*D143+$D$128*E143+$E$128</x:f>
        <x:v>2.706749472051482</x:v>
      </x:c>
      <x:c r="H143" s="11" t="n">
        <x:f aca="0">$C$129*D143+$D$129*E143+$E$129</x:f>
        <x:v>-1.7067494720514822</x:v>
      </x:c>
      <x:c r="I143" s="11" t="n">
        <x:f aca="0">$C$130*D143+$D$130*E143+$E$130</x:f>
        <x:v>35.20013003468346</x:v>
      </x:c>
      <x:c r="J143" s="11" t="n">
        <x:f aca="0">$C$131*D143+$D$131*E143+$E$131</x:f>
        <x:v>19.921667963371846</x:v>
      </x:c>
      <x:c r="K143" s="11" t="n">
        <x:f aca="0">$C$132*D143+$D$132*E143+$E$132</x:f>
        <x:v>55.1217979980553</x:v>
      </x:c>
      <x:c r="L143" s="11" t="n">
        <x:f aca="0">$C$133*D143+$D$133*E143+$E$133</x:f>
        <x:v>7.105427357601002e-15</x:v>
      </x:c>
      <x:c r="M143" s="11" t="n">
        <x:f aca="0">$C$134*D143+$D$134*E143+$E$134</x:f>
        <x:v>55.33520624797427</x:v>
      </x:c>
      <x:c r="N143" s="11" t="n">
        <x:f aca="0">$C$135*D143+$D$135*E143+$E$135</x:f>
        <x:v>-0.21340824991895446</x:v>
      </x:c>
      <x:c r="O143" s="2" t="n">
        <x:f aca="0">IF(AND(C143&lt;&gt;0,ABS(C143)&gt;=0.00000001,MIN(F143:N143)&gt;=-0.000000001),1,0)</x:f>
        <x:v>0</x:v>
      </x:c>
    </x:row>
    <x:row r="144" ht="23" hidden="0" customHeight="1">
      <x:c r="A144" s="2"/>
      <x:c r="B144" s="2" t="s">
        <x:v>123</x:v>
      </x:c>
      <x:c r="C144" s="11" t="n">
        <x:f aca="0">C127*D134-C134*D127</x:f>
        <x:v>-8.715685360556066</x:v>
      </x:c>
      <x:c r="D144" s="11" t="n">
        <x:f aca="0">(D127*E134-D134*E127)/IF(OR(C144=0,ABS(C144)&lt;0.00000001),1,C144)</x:f>
        <x:v>0</x:v>
      </x:c>
      <x:c r="E144" s="11" t="n">
        <x:f aca="0">(E127*C134-E134*C127)/IF(OR(C144=0,ABS(C144)&lt;0.00000001),1,C144)</x:f>
        <x:v>9.055671439611341</x:v>
      </x:c>
      <x:c r="F144" s="11" t="n">
        <x:f aca="0">$C$127*D144+$D$127*E144+$E$127</x:f>
        <x:v>0</x:v>
      </x:c>
      <x:c r="G144" s="11" t="n">
        <x:f aca="0">$C$128*D144+$D$128*E144+$E$128</x:f>
        <x:v>9.055671439611341</x:v>
      </x:c>
      <x:c r="H144" s="11" t="n">
        <x:f aca="0">$C$129*D144+$D$129*E144+$E$129</x:f>
        <x:v>-8.055671439611341</x:v>
      </x:c>
      <x:c r="I144" s="11" t="n">
        <x:f aca="0">$C$130*D144+$D$130*E144+$E$130</x:f>
        <x:v>33.71835351644562</x:v>
      </x:c>
      <x:c r="J144" s="11" t="n">
        <x:f aca="0">$C$131*D144+$D$131*E144+$E$131</x:f>
        <x:v>-31.71835351644564</x:v>
      </x:c>
      <x:c r="K144" s="11" t="n">
        <x:f aca="0">$C$132*D144+$D$132*E144+$E$132</x:f>
        <x:v>122.67807930147652</x:v>
      </x:c>
      <x:c r="L144" s="11" t="n">
        <x:f aca="0">$C$133*D144+$D$133*E144+$E$133</x:f>
        <x:v>-120.67807930147654</x:v>
      </x:c>
      <x:c r="M144" s="11" t="n">
        <x:f aca="0">$C$134*D144+$D$134*E144+$E$134</x:f>
        <x:v>0</x:v>
      </x:c>
      <x:c r="N144" s="11" t="n">
        <x:f aca="0">$C$135*D144+$D$135*E144+$E$135</x:f>
        <x:v>2.00000000000004</x:v>
      </x:c>
      <x:c r="O144" s="2" t="n">
        <x:f aca="0">IF(AND(C144&lt;&gt;0,ABS(C144)&gt;=0.00000001,MIN(F144:N144)&gt;=-0.000000001),1,0)</x:f>
        <x:v>0</x:v>
      </x:c>
    </x:row>
    <x:row r="145" ht="23" hidden="0" customHeight="1">
      <x:c r="A145" s="2"/>
      <x:c r="B145" s="2" t="s">
        <x:v>124</x:v>
      </x:c>
      <x:c r="C145" s="11" t="n">
        <x:f aca="0">C127*D135-C135*D127</x:f>
        <x:v>0.3486274144222463</x:v>
      </x:c>
      <x:c r="D145" s="11" t="n">
        <x:f aca="0">(D127*E135-D135*E127)/IF(OR(C145=0,ABS(C145)&lt;0.00000001),1,C145)</x:f>
        <x:v>0</x:v>
      </x:c>
      <x:c r="E145" s="11" t="n">
        <x:f aca="0">(E127*C135-E135*C127)/IF(OR(C145=0,ABS(C145)&lt;0.00000001),1,C145)</x:f>
        <x:v>3.3188879358972465</x:v>
      </x:c>
      <x:c r="F145" s="11" t="n">
        <x:f aca="0">$C$127*D145+$D$127*E145+$E$127</x:f>
        <x:v>0</x:v>
      </x:c>
      <x:c r="G145" s="11" t="n">
        <x:f aca="0">$C$128*D145+$D$128*E145+$E$128</x:f>
        <x:v>3.3188879358972465</x:v>
      </x:c>
      <x:c r="H145" s="11" t="n">
        <x:f aca="0">$C$129*D145+$D$129*E145+$E$129</x:f>
        <x:v>-2.3188879358972465</x:v>
      </x:c>
      <x:c r="I145" s="11" t="n">
        <x:f aca="0">$C$130*D145+$D$130*E145+$E$130</x:f>
        <x:v>35.05726288239029</x:v>
      </x:c>
      <x:c r="J145" s="11" t="n">
        <x:f aca="0">$C$131*D145+$D$131*E145+$E$131</x:f>
        <x:v>14.94273711761016</x:v>
      </x:c>
      <x:c r="K145" s="11" t="n">
        <x:f aca="0">$C$132*D145+$D$132*E145+$E$132</x:f>
        <x:v>61.6353129650856</x:v>
      </x:c>
      <x:c r="L145" s="11" t="n">
        <x:f aca="0">$C$133*D145+$D$133*E145+$E$133</x:f>
        <x:v>-11.635312965085149</x:v>
      </x:c>
      <x:c r="M145" s="11" t="n">
        <x:f aca="0">$C$134*D145+$D$134*E145+$E$134</x:f>
        <x:v>50.00000000000047</x:v>
      </x:c>
      <x:c r="N145" s="11" t="n">
        <x:f aca="0">$C$135*D145+$D$135*E145+$E$135</x:f>
        <x:v>0</x:v>
      </x:c>
      <x:c r="O145" s="2" t="n">
        <x:f aca="0">IF(AND(C145&lt;&gt;0,ABS(C145)&gt;=0.00000001,MIN(F145:N145)&gt;=-0.000000001),1,0)</x:f>
        <x:v>0</x:v>
      </x:c>
    </x:row>
    <x:row r="146" ht="23" hidden="0" customHeight="1">
      <x:c r="A146" s="2"/>
      <x:c r="B146" s="2" t="s">
        <x:v>125</x:v>
      </x:c>
      <x:c r="C146" s="11" t="n">
        <x:f aca="0">C128*D129-C129*D128</x:f>
        <x:v>1</x:v>
      </x:c>
      <x:c r="D146" s="11" t="n">
        <x:f aca="0">(D128*E129-D129*E128)/IF(OR(C146=0,ABS(C146)&lt;0.00000001),1,C146)</x:f>
        <x:v>1</x:v>
      </x:c>
      <x:c r="E146" s="11" t="n">
        <x:f aca="0">(E128*C129-E129*C128)/IF(OR(C146=0,ABS(C146)&lt;0.00000001),1,C146)</x:f>
        <x:v>0</x:v>
      </x:c>
      <x:c r="F146" s="11" t="n">
        <x:f aca="0">$C$127*D146+$D$127*E146+$E$127</x:f>
        <x:v>1</x:v>
      </x:c>
      <x:c r="G146" s="11" t="n">
        <x:f aca="0">$C$128*D146+$D$128*E146+$E$128</x:f>
        <x:v>0</x:v>
      </x:c>
      <x:c r="H146" s="11" t="n">
        <x:f aca="0">$C$129*D146+$D$129*E146+$E$129</x:f>
        <x:v>0</x:v>
      </x:c>
      <x:c r="I146" s="11" t="n">
        <x:f aca="0">$C$130*D146+$D$130*E146+$E$130</x:f>
        <x:v>15.988205789812344</x:v>
      </x:c>
      <x:c r="J146" s="11" t="n">
        <x:f aca="0">$C$131*D146+$D$131*E146+$E$131</x:f>
        <x:v>11.677263811681836</x:v>
      </x:c>
      <x:c r="K146" s="11" t="n">
        <x:f aca="0">$C$132*D146+$D$132*E146+$E$132</x:f>
        <x:v>24.137174203189524</x:v>
      </x:c>
      <x:c r="L146" s="11" t="n">
        <x:f aca="0">$C$133*D146+$D$133*E146+$E$133</x:f>
        <x:v>3.5282953983046568</x:v>
      </x:c>
      <x:c r="M146" s="11" t="n">
        <x:f aca="0">$C$134*D146+$D$134*E146+$E$134</x:f>
        <x:v>26.734864168223098</x:v>
      </x:c>
      <x:c r="N146" s="11" t="n">
        <x:f aca="0">$C$135*D146+$D$135*E146+$E$135</x:f>
        <x:v>0.9306054332710794</x:v>
      </x:c>
      <x:c r="O146" s="2" t="n">
        <x:f aca="0">IF(AND(C146&lt;&gt;0,ABS(C146)&gt;=0.00000001,MIN(F146:N146)&gt;=-0.000000001),1,0)</x:f>
        <x:v>1</x:v>
      </x:c>
    </x:row>
    <x:row r="147" ht="23" hidden="0" customHeight="1">
      <x:c r="A147" s="2"/>
      <x:c r="B147" s="2" t="s">
        <x:v>126</x:v>
      </x:c>
      <x:c r="C147" s="11" t="n">
        <x:f aca="0">C128*D130-C130*D128</x:f>
        <x:v>19.843653194908928</x:v>
      </x:c>
      <x:c r="D147" s="11" t="n">
        <x:f aca="0">(D128*E130-D130*E128)/IF(OR(C147=0,ABS(C147)&lt;0.00000001),1,C147)</x:f>
        <x:v>1.805708789242208</x:v>
      </x:c>
      <x:c r="E147" s="11" t="n">
        <x:f aca="0">(E128*C130-E130*C128)/IF(OR(C147=0,ABS(C147)&lt;0.00000001),1,C147)</x:f>
        <x:v>0</x:v>
      </x:c>
      <x:c r="F147" s="11" t="n">
        <x:f aca="0">$C$127*D147+$D$127*E147+$E$127</x:f>
        <x:v>1.805708789242208</x:v>
      </x:c>
      <x:c r="G147" s="11" t="n">
        <x:f aca="0">$C$128*D147+$D$128*E147+$E$128</x:f>
        <x:v>0</x:v>
      </x:c>
      <x:c r="H147" s="11" t="n">
        <x:f aca="0">$C$129*D147+$D$129*E147+$E$129</x:f>
        <x:v>-0.8057087892422079</x:v>
      </x:c>
      <x:c r="I147" s="11" t="n">
        <x:f aca="0">$C$130*D147+$D$130*E147+$E$130</x:f>
        <x:v>0</x:v>
      </x:c>
      <x:c r="J147" s="11" t="n">
        <x:f aca="0">$C$131*D147+$D$131*E147+$E$131</x:f>
        <x:v>-12.703649224383241</x:v>
      </x:c>
      <x:c r="K147" s="11" t="n">
        <x:f aca="0">$C$132*D147+$D$132*E147+$E$132</x:f>
        <x:v>22.378142719051397</x:v>
      </x:c>
      <x:c r="L147" s="11" t="n">
        <x:f aca="0">$C$133*D147+$D$133*E147+$E$133</x:f>
        <x:v>-35.08179194343463</x:v>
      </x:c>
      <x:c r="M147" s="11" t="n">
        <x:f aca="0">$C$134*D147+$D$134*E147+$E$134</x:f>
        <x:v>-15.316301275399212</x:v>
      </x:c>
      <x:c r="N147" s="11" t="n">
        <x:f aca="0">$C$135*D147+$D$135*E147+$E$135</x:f>
        <x:v>2.612652051015969</x:v>
      </x:c>
      <x:c r="O147" s="2" t="n">
        <x:f aca="0">IF(AND(C147&lt;&gt;0,ABS(C147)&gt;=0.00000001,MIN(F147:N147)&gt;=-0.000000001),1,0)</x:f>
        <x:v>0</x:v>
      </x:c>
    </x:row>
    <x:row r="148" ht="23" hidden="0" customHeight="1">
      <x:c r="A148" s="2"/>
      <x:c r="B148" s="2" t="s">
        <x:v>127</x:v>
      </x:c>
      <x:c r="C148" s="11" t="n">
        <x:f aca="0">C128*D131-C131*D128</x:f>
        <x:v>30.260204879974093</x:v>
      </x:c>
      <x:c r="D148" s="11" t="n">
        <x:f aca="0">(D128*E131-D131*E128)/IF(OR(C148=0,ABS(C148)&lt;0.00000001),1,C148)</x:f>
        <x:v>1.3858950677300184</x:v>
      </x:c>
      <x:c r="E148" s="11" t="n">
        <x:f aca="0">(E128*C131-E131*C128)/IF(OR(C148=0,ABS(C148)&lt;0.00000001),1,C148)</x:f>
        <x:v>0</x:v>
      </x:c>
      <x:c r="F148" s="11" t="n">
        <x:f aca="0">$C$127*D148+$D$127*E148+$E$127</x:f>
        <x:v>1.3858950677300184</x:v>
      </x:c>
      <x:c r="G148" s="11" t="n">
        <x:f aca="0">$C$128*D148+$D$128*E148+$E$128</x:f>
        <x:v>0</x:v>
      </x:c>
      <x:c r="H148" s="11" t="n">
        <x:f aca="0">$C$129*D148+$D$129*E148+$E$129</x:f>
        <x:v>-0.38589506773001836</x:v>
      </x:c>
      <x:c r="I148" s="11" t="n">
        <x:f aca="0">$C$130*D148+$D$130*E148+$E$130</x:f>
        <x:v>8.33063789615197</x:v>
      </x:c>
      <x:c r="J148" s="11" t="n">
        <x:f aca="0">$C$131*D148+$D$131*E148+$E$131</x:f>
        <x:v>0</x:v>
      </x:c>
      <x:c r="K148" s="11" t="n">
        <x:f aca="0">$C$132*D148+$D$132*E148+$E$132</x:f>
        <x:v>23.294684233148175</x:v>
      </x:c>
      <x:c r="L148" s="11" t="n">
        <x:f aca="0">$C$133*D148+$D$133*E148+$E$133</x:f>
        <x:v>-14.964046336996212</x:v>
      </x:c>
      <x:c r="M148" s="11" t="n">
        <x:f aca="0">$C$134*D148+$D$134*E148+$E$134</x:f>
        <x:v>6.5944144751583025</x:v>
      </x:c>
      <x:c r="N148" s="11" t="n">
        <x:f aca="0">$C$135*D148+$D$135*E148+$E$135</x:f>
        <x:v>1.73622342099367</x:v>
      </x:c>
      <x:c r="O148" s="2" t="n">
        <x:f aca="0">IF(AND(C148&lt;&gt;0,ABS(C148)&gt;=0.00000001,MIN(F148:N148)&gt;=-0.000000001),1,0)</x:f>
        <x:v>0</x:v>
      </x:c>
    </x:row>
    <x:row r="149" ht="23" hidden="0" customHeight="1">
      <x:c r="A149" s="2"/>
      <x:c r="B149" s="2" t="s">
        <x:v>128</x:v>
      </x:c>
      <x:c r="C149" s="11" t="n">
        <x:f aca="0">C128*D132-C132*D128</x:f>
        <x:v>2.1832099979851876</x:v>
      </x:c>
      <x:c r="D149" s="11" t="n">
        <x:f aca="0">(D128*E132-D132*E128)/IF(OR(C149=0,ABS(C149)&lt;0.00000001),1,C149)</x:f>
        <x:v>12.055818828910148</x:v>
      </x:c>
      <x:c r="E149" s="11" t="n">
        <x:f aca="0">(E128*C132-E132*C128)/IF(OR(C149=0,ABS(C149)&lt;0.00000001),1,C149)</x:f>
        <x:v>0</x:v>
      </x:c>
      <x:c r="F149" s="11" t="n">
        <x:f aca="0">$C$127*D149+$D$127*E149+$E$127</x:f>
        <x:v>12.055818828910148</x:v>
      </x:c>
      <x:c r="G149" s="11" t="n">
        <x:f aca="0">$C$128*D149+$D$128*E149+$E$128</x:f>
        <x:v>0</x:v>
      </x:c>
      <x:c r="H149" s="11" t="n">
        <x:f aca="0">$C$129*D149+$D$129*E149+$E$129</x:f>
        <x:v>-11.055818828910148</x:v>
      </x:c>
      <x:c r="I149" s="11" t="n">
        <x:f aca="0">$C$130*D149+$D$130*E149+$E$130</x:f>
        <x:v>-203.3996288368248</x:v>
      </x:c>
      <x:c r="J149" s="11" t="n">
        <x:f aca="0">$C$131*D149+$D$131*E149+$E$131</x:f>
        <x:v>-322.8740790670145</x:v>
      </x:c>
      <x:c r="K149" s="11" t="n">
        <x:f aca="0">$C$132*D149+$D$132*E149+$E$132</x:f>
        <x:v>0</x:v>
      </x:c>
      <x:c r="L149" s="11" t="n">
        <x:f aca="0">$C$133*D149+$D$133*E149+$E$133</x:f>
        <x:v>-526.2737079038393</x:v>
      </x:c>
      <x:c r="M149" s="11" t="n">
        <x:f aca="0">$C$134*D149+$D$134*E149+$E$134</x:f>
        <x:v>-550.2851123998325</x:v>
      </x:c>
      <x:c r="N149" s="11" t="n">
        <x:f aca="0">$C$135*D149+$D$135*E149+$E$135</x:f>
        <x:v>24.01140449599327</x:v>
      </x:c>
      <x:c r="O149" s="2" t="n">
        <x:f aca="0">IF(AND(C149&lt;&gt;0,ABS(C149)&gt;=0.00000001,MIN(F149:N149)&gt;=-0.000000001),1,0)</x:f>
        <x:v>0</x:v>
      </x:c>
    </x:row>
    <x:row r="150" ht="23" hidden="0" customHeight="1">
      <x:c r="A150" s="2"/>
      <x:c r="B150" s="2" t="s">
        <x:v>129</x:v>
      </x:c>
      <x:c r="C150" s="11" t="n">
        <x:f aca="0">C128*D133-C133*D128</x:f>
        <x:v>47.920648076897834</x:v>
      </x:c>
      <x:c r="D150" s="11" t="n">
        <x:f aca="0">(D128*E133-D133*E128)/IF(OR(C150=0,ABS(C150)&lt;0.00000001),1,C150)</x:f>
        <x:v>1.0736278731590365</x:v>
      </x:c>
      <x:c r="E150" s="11" t="n">
        <x:f aca="0">(E128*C133-E133*C128)/IF(OR(C150=0,ABS(C150)&lt;0.00000001),1,C150)</x:f>
        <x:v>0</x:v>
      </x:c>
      <x:c r="F150" s="11" t="n">
        <x:f aca="0">$C$127*D150+$D$127*E150+$E$127</x:f>
        <x:v>1.0736278731590365</x:v>
      </x:c>
      <x:c r="G150" s="11" t="n">
        <x:f aca="0">$C$128*D150+$D$128*E150+$E$128</x:f>
        <x:v>0</x:v>
      </x:c>
      <x:c r="H150" s="11" t="n">
        <x:f aca="0">$C$129*D150+$D$129*E150+$E$129</x:f>
        <x:v>-0.07362787315903652</x:v>
      </x:c>
      <x:c r="I150" s="11" t="n">
        <x:f aca="0">$C$130*D150+$D$130*E150+$E$130</x:f>
        <x:v>14.527159809365681</x:v>
      </x:c>
      <x:c r="J150" s="11" t="n">
        <x:f aca="0">$C$131*D150+$D$131*E150+$E$131</x:f>
        <x:v>9.449269285012647</x:v>
      </x:c>
      <x:c r="K150" s="11" t="n">
        <x:f aca="0">$C$132*D150+$D$132*E150+$E$132</x:f>
        <x:v>23.97642909437833</x:v>
      </x:c>
      <x:c r="L150" s="11" t="n">
        <x:f aca="0">$C$133*D150+$D$133*E150+$E$133</x:f>
        <x:v>-7.105427357601002e-15</x:v>
      </x:c>
      <x:c r="M150" s="11" t="n">
        <x:f aca="0">$C$134*D150+$D$134*E150+$E$134</x:f>
        <x:v>22.892113639977417</x:v>
      </x:c>
      <x:c r="N150" s="11" t="n">
        <x:f aca="0">$C$135*D150+$D$135*E150+$E$135</x:f>
        <x:v>1.0843154544009064</x:v>
      </x:c>
      <x:c r="O150" s="2" t="n">
        <x:f aca="0">IF(AND(C150&lt;&gt;0,ABS(C150)&gt;=0.00000001,MIN(F150:N150)&gt;=-0.000000001),1,0)</x:f>
        <x:v>0</x:v>
      </x:c>
    </x:row>
    <x:row r="151" ht="23" hidden="0" customHeight="1">
      <x:c r="A151" s="2"/>
      <x:c r="B151" s="2" t="s">
        <x:v>130</x:v>
      </x:c>
      <x:c r="C151" s="11" t="n">
        <x:f aca="0">C128*D134-C134*D128</x:f>
        <x:v>52.19151882800314</x:v>
      </x:c>
      <x:c r="D151" s="11" t="n">
        <x:f aca="0">(D128*E134-D134*E128)/IF(OR(C151=0,ABS(C151)&lt;0.00000001),1,C151)</x:f>
        <x:v>1.5122453756582117</x:v>
      </x:c>
      <x:c r="E151" s="11" t="n">
        <x:f aca="0">(E128*C134-E134*C128)/IF(OR(C151=0,ABS(C151)&lt;0.00000001),1,C151)</x:f>
        <x:v>0</x:v>
      </x:c>
      <x:c r="F151" s="11" t="n">
        <x:f aca="0">$C$127*D151+$D$127*E151+$E$127</x:f>
        <x:v>1.5122453756582117</x:v>
      </x:c>
      <x:c r="G151" s="11" t="n">
        <x:f aca="0">$C$128*D151+$D$128*E151+$E$128</x:f>
        <x:v>0</x:v>
      </x:c>
      <x:c r="H151" s="11" t="n">
        <x:f aca="0">$C$129*D151+$D$129*E151+$E$129</x:f>
        <x:v>-0.5122453756582117</x:v>
      </x:c>
      <x:c r="I151" s="11" t="n">
        <x:f aca="0">$C$130*D151+$D$130*E151+$E$130</x:f>
        <x:v>5.8233862045549465</x:v>
      </x:c>
      <x:c r="J151" s="11" t="n">
        <x:f aca="0">$C$131*D151+$D$131*E151+$E$131</x:f>
        <x:v>-3.823386204554943</x:v>
      </x:c>
      <x:c r="K151" s="11" t="n">
        <x:f aca="0">$C$132*D151+$D$132*E151+$E$132</x:f>
        <x:v>23.01883497763084</x:v>
      </x:c>
      <x:c r="L151" s="11" t="n">
        <x:f aca="0">$C$133*D151+$D$133*E151+$E$133</x:f>
        <x:v>-21.01883497763084</x:v>
      </x:c>
      <x:c r="M151" s="11" t="n">
        <x:f aca="0">$C$134*D151+$D$134*E151+$E$134</x:f>
        <x:v>0</x:v>
      </x:c>
      <x:c r="N151" s="11" t="n">
        <x:f aca="0">$C$135*D151+$D$135*E151+$E$135</x:f>
        <x:v>2.0000000000000018</x:v>
      </x:c>
      <x:c r="O151" s="2" t="n">
        <x:f aca="0">IF(AND(C151&lt;&gt;0,ABS(C151)&gt;=0.00000001,MIN(F151:N151)&gt;=-0.000000001),1,0)</x:f>
        <x:v>0</x:v>
      </x:c>
    </x:row>
    <x:row r="152" ht="23" hidden="0" customHeight="1">
      <x:c r="A152" s="2"/>
      <x:c r="B152" s="2" t="s">
        <x:v>131</x:v>
      </x:c>
      <x:c r="C152" s="11" t="n">
        <x:f aca="0">C128*D135-C135*D128</x:f>
        <x:v>-2.0876607531201223</x:v>
      </x:c>
      <x:c r="D152" s="11" t="n">
        <x:f aca="0">(D128*E135-D135*E128)/IF(OR(C152=0,ABS(C152)&lt;0.00000001),1,C152)</x:f>
        <x:v>0.5542353172658733</x:v>
      </x:c>
      <x:c r="E152" s="11" t="n">
        <x:f aca="0">(E128*C135-E135*C128)/IF(OR(C152=0,ABS(C152)&lt;0.00000001),1,C152)</x:f>
        <x:v>0</x:v>
      </x:c>
      <x:c r="F152" s="11" t="n">
        <x:f aca="0">$C$127*D152+$D$127*E152+$E$127</x:f>
        <x:v>0.5542353172658733</x:v>
      </x:c>
      <x:c r="G152" s="11" t="n">
        <x:f aca="0">$C$128*D152+$D$128*E152+$E$128</x:f>
        <x:v>0</x:v>
      </x:c>
      <x:c r="H152" s="11" t="n">
        <x:f aca="0">$C$129*D152+$D$129*E152+$E$129</x:f>
        <x:v>0.4457646827341267</x:v>
      </x:c>
      <x:c r="I152" s="11" t="n">
        <x:f aca="0">$C$130*D152+$D$130*E152+$E$130</x:f>
        <x:v>24.83380556052696</x:v>
      </x:c>
      <x:c r="J152" s="11" t="n">
        <x:f aca="0">$C$131*D152+$D$131*E152+$E$131</x:f>
        <x:v>25.166194439473163</x:v>
      </x:c>
      <x:c r="K152" s="11" t="n">
        <x:f aca="0">$C$132*D152+$D$132*E152+$E$132</x:f>
        <x:v>25.110372115283365</x:v>
      </x:c>
      <x:c r="L152" s="11" t="n">
        <x:f aca="0">$C$133*D152+$D$133*E152+$E$133</x:f>
        <x:v>24.88962788471676</x:v>
      </x:c>
      <x:c r="M152" s="11" t="n">
        <x:f aca="0">$C$134*D152+$D$134*E152+$E$134</x:f>
        <x:v>50.000000000000114</x:v>
      </x:c>
      <x:c r="N152" s="11" t="n">
        <x:f aca="0">$C$135*D152+$D$135*E152+$E$135</x:f>
        <x:v>0</x:v>
      </x:c>
      <x:c r="O152" s="2" t="n">
        <x:f aca="0">IF(AND(C152&lt;&gt;0,ABS(C152)&gt;=0.00000001,MIN(F152:N152)&gt;=-0.000000001),1,0)</x:f>
        <x:v>1</x:v>
      </x:c>
    </x:row>
    <x:row r="153" ht="23" hidden="0" customHeight="1">
      <x:c r="A153" s="2"/>
      <x:c r="B153" s="2" t="s">
        <x:v>132</x:v>
      </x:c>
      <x:c r="C153" s="11" t="n">
        <x:f aca="0">C129*D130-C130*D129</x:f>
        <x:v>-19.610262939711422</x:v>
      </x:c>
      <x:c r="D153" s="11" t="n">
        <x:f aca="0">(D129*E130-D130*E129)/IF(OR(C153=0,ABS(C153)&lt;0.00000001),1,C153)</x:f>
        <x:v>1.815297879430046</x:v>
      </x:c>
      <x:c r="E153" s="11" t="n">
        <x:f aca="0">(E129*C130-E130*C129)/IF(OR(C153=0,ABS(C153)&lt;0.00000001),1,C153)</x:f>
        <x:v>-0.8152978794300461</x:v>
      </x:c>
      <x:c r="F153" s="11" t="n">
        <x:f aca="0">$C$127*D153+$D$127*E153+$E$127</x:f>
        <x:v>1.815297879430046</x:v>
      </x:c>
      <x:c r="G153" s="11" t="n">
        <x:f aca="0">$C$128*D153+$D$128*E153+$E$128</x:f>
        <x:v>-0.8152978794300461</x:v>
      </x:c>
      <x:c r="H153" s="11" t="n">
        <x:f aca="0">$C$129*D153+$D$129*E153+$E$129</x:f>
        <x:v>0</x:v>
      </x:c>
      <x:c r="I153" s="11" t="n">
        <x:f aca="0">$C$130*D153+$D$130*E153+$E$130</x:f>
        <x:v>7.105427357601002e-15</x:v>
      </x:c>
      <x:c r="J153" s="11" t="n">
        <x:f aca="0">$C$131*D153+$D$131*E153+$E$131</x:f>
        <x:v>-6.362455037670706</x:v>
      </x:c>
      <x:c r="K153" s="11" t="n">
        <x:f aca="0">$C$132*D153+$D$132*E153+$E$132</x:f>
        <x:v>13.681956526036993</x:v>
      </x:c>
      <x:c r="L153" s="11" t="n">
        <x:f aca="0">$C$133*D153+$D$133*E153+$E$133</x:f>
        <x:v>-20.044411563707705</x:v>
      </x:c>
      <x:c r="M153" s="11" t="n">
        <x:f aca="0">$C$134*D153+$D$134*E153+$E$134</x:f>
        <x:v>-8.710890664240324</x:v>
      </x:c>
      <x:c r="N153" s="11" t="n">
        <x:f aca="0">$C$135*D153+$D$135*E153+$E$135</x:f>
        <x:v>2.3484356265696107</x:v>
      </x:c>
      <x:c r="O153" s="2" t="n">
        <x:f aca="0">IF(AND(C153&lt;&gt;0,ABS(C153)&gt;=0.00000001,MIN(F153:N153)&gt;=-0.000000001),1,0)</x:f>
        <x:v>0</x:v>
      </x:c>
    </x:row>
    <x:row r="154" ht="23" hidden="0" customHeight="1">
      <x:c r="A154" s="2"/>
      <x:c r="B154" s="2" t="s">
        <x:v>133</x:v>
      </x:c>
      <x:c r="C154" s="11" t="n">
        <x:f aca="0">C129*D131-C131*D129</x:f>
        <x:v>-22.126537189037773</x:v>
      </x:c>
      <x:c r="D154" s="11" t="n">
        <x:f aca="0">(D129*E131-D131*E129)/IF(OR(C154=0,ABS(C154)&lt;0.00000001),1,C154)</x:f>
        <x:v>1.5277492683069787</x:v>
      </x:c>
      <x:c r="E154" s="11" t="n">
        <x:f aca="0">(E129*C131-E131*C129)/IF(OR(C154=0,ABS(C154)&lt;0.00000001),1,C154)</x:f>
        <x:v>-0.5277492683069787</x:v>
      </x:c>
      <x:c r="F154" s="11" t="n">
        <x:f aca="0">$C$127*D154+$D$127*E154+$E$127</x:f>
        <x:v>1.5277492683069787</x:v>
      </x:c>
      <x:c r="G154" s="11" t="n">
        <x:f aca="0">$C$128*D154+$D$128*E154+$E$128</x:f>
        <x:v>-0.5277492683069787</x:v>
      </x:c>
      <x:c r="H154" s="11" t="n">
        <x:f aca="0">$C$129*D154+$D$129*E154+$E$129</x:f>
        <x:v>0</x:v>
      </x:c>
      <x:c r="I154" s="11" t="n">
        <x:f aca="0">$C$130*D154+$D$130*E154+$E$130</x:f>
        <x:v>5.638903872072181</x:v>
      </x:c>
      <x:c r="J154" s="11" t="n">
        <x:f aca="0">$C$131*D154+$D$131*E154+$E$131</x:f>
        <x:v>0</x:v>
      </x:c>
      <x:c r="K154" s="11" t="n">
        <x:f aca="0">$C$132*D154+$D$132*E154+$E$132</x:f>
        <x:v>17.369422663145357</x:v>
      </x:c>
      <x:c r="L154" s="11" t="n">
        <x:f aca="0">$C$133*D154+$D$133*E154+$E$133</x:f>
        <x:v>-11.730518791073173</x:v>
      </x:c>
      <x:c r="M154" s="11" t="n">
        <x:f aca="0">$C$134*D154+$D$134*E154+$E$134</x:f>
        <x:v>3.7905248667418476</x:v>
      </x:c>
      <x:c r="N154" s="11" t="n">
        <x:f aca="0">$C$135*D154+$D$135*E154+$E$135</x:f>
        <x:v>1.8483790053303255</x:v>
      </x:c>
      <x:c r="O154" s="2" t="n">
        <x:f aca="0">IF(AND(C154&lt;&gt;0,ABS(C154)&gt;=0.00000001,MIN(F154:N154)&gt;=-0.000000001),1,0)</x:f>
        <x:v>0</x:v>
      </x:c>
    </x:row>
    <x:row r="155" ht="23" hidden="0" customHeight="1">
      <x:c r="A155" s="2"/>
      <x:c r="B155" s="2" t="s">
        <x:v>134</x:v>
      </x:c>
      <x:c r="C155" s="11" t="n">
        <x:f aca="0">C129*D132-C132*D129</x:f>
        <x:v>-12.823800896503627</x:v>
      </x:c>
      <x:c r="D155" s="11" t="n">
        <x:f aca="0">(D129*E132-D132*E129)/IF(OR(C155=0,ABS(C155)&lt;0.00000001),1,C155)</x:f>
        <x:v>2.882216855828638</x:v>
      </x:c>
      <x:c r="E155" s="11" t="n">
        <x:f aca="0">(E129*C132-E132*C129)/IF(OR(C155=0,ABS(C155)&lt;0.00000001),1,C155)</x:f>
        <x:v>-1.8822168558286378</x:v>
      </x:c>
      <x:c r="F155" s="11" t="n">
        <x:f aca="0">$C$127*D155+$D$127*E155+$E$127</x:f>
        <x:v>2.882216855828638</x:v>
      </x:c>
      <x:c r="G155" s="11" t="n">
        <x:f aca="0">$C$128*D155+$D$128*E155+$E$128</x:f>
        <x:v>-1.8822168558286378</x:v>
      </x:c>
      <x:c r="H155" s="11" t="n">
        <x:f aca="0">$C$129*D155+$D$129*E155+$E$129</x:f>
        <x:v>0</x:v>
      </x:c>
      <x:c r="I155" s="11" t="n">
        <x:f aca="0">$C$130*D155+$D$130*E155+$E$130</x:f>
        <x:v>-20.922561662544148</x:v>
      </x:c>
      <x:c r="J155" s="11" t="n">
        <x:f aca="0">$C$131*D155+$D$131*E155+$E$131</x:f>
        <x:v>-29.969677446644262</x:v>
      </x:c>
      <x:c r="K155" s="11" t="n">
        <x:f aca="0">$C$132*D155+$D$132*E155+$E$132</x:f>
        <x:v>0</x:v>
      </x:c>
      <x:c r="L155" s="11" t="n">
        <x:f aca="0">$C$133*D155+$D$133*E155+$E$133</x:f>
        <x:v>-50.89223910918842</x:v>
      </x:c>
      <x:c r="M155" s="11" t="n">
        <x:f aca="0">$C$134*D155+$D$134*E155+$E$134</x:f>
        <x:v>-55.096082405404616</x:v>
      </x:c>
      <x:c r="N155" s="11" t="n">
        <x:f aca="0">$C$135*D155+$D$135*E155+$E$135</x:f>
        <x:v>4.203843296216174</x:v>
      </x:c>
      <x:c r="O155" s="2" t="n">
        <x:f aca="0">IF(AND(C155&lt;&gt;0,ABS(C155)&gt;=0.00000001,MIN(F155:N155)&gt;=-0.000000001),1,0)</x:f>
        <x:v>0</x:v>
      </x:c>
    </x:row>
    <x:row r="156" ht="23" hidden="0" customHeight="1">
      <x:c r="A156" s="2"/>
      <x:c r="B156" s="2" t="s">
        <x:v>135</x:v>
      </x:c>
      <x:c r="C156" s="11" t="n">
        <x:f aca="0">C129*D133-C133*D129</x:f>
        <x:v>-28.912999232245568</x:v>
      </x:c>
      <x:c r="D156" s="11" t="n">
        <x:f aca="0">(D129*E133-D133*E129)/IF(OR(C156=0,ABS(C156)&lt;0.00000001),1,C156)</x:f>
        <x:v>1.12203145616141</x:v>
      </x:c>
      <x:c r="E156" s="11" t="n">
        <x:f aca="0">(E129*C133-E133*C129)/IF(OR(C156=0,ABS(C156)&lt;0.00000001),1,C156)</x:f>
        <x:v>-0.12203145616141002</x:v>
      </x:c>
      <x:c r="F156" s="11" t="n">
        <x:f aca="0">$C$127*D156+$D$127*E156+$E$127</x:f>
        <x:v>1.12203145616141</x:v>
      </x:c>
      <x:c r="G156" s="11" t="n">
        <x:f aca="0">$C$128*D156+$D$128*E156+$E$128</x:f>
        <x:v>-0.12203145616141002</x:v>
      </x:c>
      <x:c r="H156" s="11" t="n">
        <x:f aca="0">$C$129*D156+$D$129*E156+$E$129</x:f>
        <x:v>0</x:v>
      </x:c>
      <x:c r="I156" s="11" t="n">
        <x:f aca="0">$C$130*D156+$D$130*E156+$E$130</x:f>
        <x:v>13.595136847571226</x:v>
      </x:c>
      <x:c r="J156" s="11" t="n">
        <x:f aca="0">$C$131*D156+$D$131*E156+$E$131</x:f>
        <x:v>8.977130258693961</x:v>
      </x:c>
      <x:c r="K156" s="11" t="n">
        <x:f aca="0">$C$132*D156+$D$132*E156+$E$132</x:f>
        <x:v>22.57226710626519</x:v>
      </x:c>
      <x:c r="L156" s="11" t="n">
        <x:f aca="0">$C$133*D156+$D$133*E156+$E$133</x:f>
        <x:v>0</x:v>
      </x:c>
      <x:c r="M156" s="11" t="n">
        <x:f aca="0">$C$134*D156+$D$134*E156+$E$134</x:f>
        <x:v>21.42944490235957</x:v>
      </x:c>
      <x:c r="N156" s="11" t="n">
        <x:f aca="0">$C$135*D156+$D$135*E156+$E$135</x:f>
        <x:v>1.1428222039056197</x:v>
      </x:c>
      <x:c r="O156" s="2" t="n">
        <x:f aca="0">IF(AND(C156&lt;&gt;0,ABS(C156)&gt;=0.00000001,MIN(F156:N156)&gt;=-0.000000001),1,0)</x:f>
        <x:v>0</x:v>
      </x:c>
    </x:row>
    <x:row r="157" ht="23" hidden="0" customHeight="1">
      <x:c r="A157" s="2"/>
      <x:c r="B157" s="2" t="s">
        <x:v>136</x:v>
      </x:c>
      <x:c r="C157" s="11" t="n">
        <x:f aca="0">C129*D134-C134*D129</x:f>
        <x:v>-43.475833467447075</x:v>
      </x:c>
      <x:c r="D157" s="11" t="n">
        <x:f aca="0">(D129*E134-D134*E129)/IF(OR(C157=0,ABS(C157)&lt;0.00000001),1,C157)</x:f>
        <x:v>1.6149362079105642</x:v>
      </x:c>
      <x:c r="E157" s="11" t="n">
        <x:f aca="0">(E129*C134-E134*C129)/IF(OR(C157=0,ABS(C157)&lt;0.00000001),1,C157)</x:f>
        <x:v>-0.6149362079105641</x:v>
      </x:c>
      <x:c r="F157" s="11" t="n">
        <x:f aca="0">$C$127*D157+$D$127*E157+$E$127</x:f>
        <x:v>1.6149362079105642</x:v>
      </x:c>
      <x:c r="G157" s="11" t="n">
        <x:f aca="0">$C$128*D157+$D$128*E157+$E$128</x:f>
        <x:v>-0.6149362079105641</x:v>
      </x:c>
      <x:c r="H157" s="11" t="n">
        <x:f aca="0">$C$129*D157+$D$129*E157+$E$129</x:f>
        <x:v>0</x:v>
      </x:c>
      <x:c r="I157" s="11" t="n">
        <x:f aca="0">$C$130*D157+$D$130*E157+$E$130</x:f>
        <x:v>3.929145061537131</x:v>
      </x:c>
      <x:c r="J157" s="11" t="n">
        <x:f aca="0">$C$131*D157+$D$131*E157+$E$131</x:f>
        <x:v>-1.9291450615371275</x:v>
      </x:c>
      <x:c r="K157" s="11" t="n">
        <x:f aca="0">$C$132*D157+$D$132*E157+$E$132</x:f>
        <x:v>16.25135470889349</x:v>
      </x:c>
      <x:c r="L157" s="11" t="n">
        <x:f aca="0">$C$133*D157+$D$133*E157+$E$133</x:f>
        <x:v>-14.251354708893494</x:v>
      </x:c>
      <x:c r="M157" s="11" t="n">
        <x:f aca="0">$C$134*D157+$D$134*E157+$E$134</x:f>
        <x:v>0</x:v>
      </x:c>
      <x:c r="N157" s="11" t="n">
        <x:f aca="0">$C$135*D157+$D$135*E157+$E$135</x:f>
        <x:v>1.9999999999999991</x:v>
      </x:c>
      <x:c r="O157" s="2" t="n">
        <x:f aca="0">IF(AND(C157&lt;&gt;0,ABS(C157)&gt;=0.00000001,MIN(F157:N157)&gt;=-0.000000001),1,0)</x:f>
        <x:v>0</x:v>
      </x:c>
    </x:row>
    <x:row r="158" ht="23" hidden="0" customHeight="1">
      <x:c r="A158" s="2"/>
      <x:c r="B158" s="2" t="s">
        <x:v>137</x:v>
      </x:c>
      <x:c r="C158" s="11" t="n">
        <x:f aca="0">C129*D135-C135*D129</x:f>
        <x:v>1.739033338697876</x:v>
      </x:c>
      <x:c r="D158" s="11" t="n">
        <x:f aca="0">(D129*E135-D135*E129)/IF(OR(C158=0,ABS(C158)&lt;0.00000001),1,C158)</x:f>
        <x:v>0.46487199953976593</x:v>
      </x:c>
      <x:c r="E158" s="11" t="n">
        <x:f aca="0">(E129*C135-E135*C129)/IF(OR(C158=0,ABS(C158)&lt;0.00000001),1,C158)</x:f>
        <x:v>0.535128000460234</x:v>
      </x:c>
      <x:c r="F158" s="11" t="n">
        <x:f aca="0">$C$127*D158+$D$127*E158+$E$127</x:f>
        <x:v>0.46487199953976593</x:v>
      </x:c>
      <x:c r="G158" s="11" t="n">
        <x:f aca="0">$C$128*D158+$D$128*E158+$E$128</x:f>
        <x:v>0.535128000460234</x:v>
      </x:c>
      <x:c r="H158" s="11" t="n">
        <x:f aca="0">$C$129*D158+$D$129*E158+$E$129</x:f>
        <x:v>0</x:v>
      </x:c>
      <x:c r="I158" s="11" t="n">
        <x:f aca="0">$C$130*D158+$D$130*E158+$E$130</x:f>
        <x:v>26.48220658523955</x:v>
      </x:c>
      <x:c r="J158" s="11" t="n">
        <x:f aca="0">$C$131*D158+$D$131*E158+$E$131</x:f>
        <x:v>23.51779341476063</x:v>
      </x:c>
      <x:c r="K158" s="11" t="n">
        <x:f aca="0">$C$132*D158+$D$132*E158+$E$132</x:f>
        <x:v>30.999549135235668</x:v>
      </x:c>
      <x:c r="L158" s="11" t="n">
        <x:f aca="0">$C$133*D158+$D$133*E158+$E$133</x:f>
        <x:v>19.00045086476451</x:v>
      </x:c>
      <x:c r="M158" s="11" t="n">
        <x:f aca="0">$C$134*D158+$D$134*E158+$E$134</x:f>
        <x:v>50.00000000000017</x:v>
      </x:c>
      <x:c r="N158" s="11" t="n">
        <x:f aca="0">$C$135*D158+$D$135*E158+$E$135</x:f>
        <x:v>0</x:v>
      </x:c>
      <x:c r="O158" s="2" t="n">
        <x:f aca="0">IF(AND(C158&lt;&gt;0,ABS(C158)&gt;=0.00000001,MIN(F158:N158)&gt;=-0.000000001),1,0)</x:f>
        <x:v>1</x:v>
      </x:c>
    </x:row>
    <x:row r="159" ht="23" hidden="0" customHeight="1">
      <x:c r="A159" s="2"/>
      <x:c r="B159" s="2" t="s">
        <x:v>138</x:v>
      </x:c>
      <x:c r="C159" s="11" t="n">
        <x:f aca="0">C130*D131-C131*D130</x:f>
        <x:v>154.3392439223101</x:v>
      </x:c>
      <x:c r="D159" s="11" t="n">
        <x:f aca="0">(D130*E131-D131*E130)/IF(OR(C159=0,ABS(C159)&lt;0.00000001),1,C159)</x:f>
        <x:v>1.8249191200632586</x:v>
      </x:c>
      <x:c r="E159" s="11" t="n">
        <x:f aca="0">(E130*C131-E131*C130)/IF(OR(C159=0,ABS(C159)&lt;0.00000001),1,C159)</x:f>
        <x:v>-1.633329301815993</x:v>
      </x:c>
      <x:c r="F159" s="11" t="n">
        <x:f aca="0">$C$127*D159+$D$127*E159+$E$127</x:f>
        <x:v>1.8249191200632586</x:v>
      </x:c>
      <x:c r="G159" s="11" t="n">
        <x:f aca="0">$C$128*D159+$D$128*E159+$E$128</x:f>
        <x:v>-1.633329301815993</x:v>
      </x:c>
      <x:c r="H159" s="11" t="n">
        <x:f aca="0">$C$129*D159+$D$129*E159+$E$129</x:f>
        <x:v>0.8084101817527343</x:v>
      </x:c>
      <x:c r="I159" s="11" t="n">
        <x:f aca="0">$C$130*D159+$D$130*E159+$E$130</x:f>
        <x:v>0</x:v>
      </x:c>
      <x:c r="J159" s="11" t="n">
        <x:f aca="0">$C$131*D159+$D$131*E159+$E$131</x:f>
        <x:v>7.105427357601002e-15</x:v>
      </x:c>
      <x:c r="K159" s="11" t="n">
        <x:f aca="0">$C$132*D159+$D$132*E159+$E$132</x:f>
        <x:v>4.956613629551541</x:v>
      </x:c>
      <x:c r="L159" s="11" t="n">
        <x:f aca="0">$C$133*D159+$D$133*E159+$E$133</x:f>
        <x:v>-4.9566136295515335</x:v>
      </x:c>
      <x:c r="M159" s="11" t="n">
        <x:f aca="0">$C$134*D159+$D$134*E159+$E$134</x:f>
        <x:v>-2.0833333333333286</x:v>
      </x:c>
      <x:c r="N159" s="11" t="n">
        <x:f aca="0">$C$135*D159+$D$135*E159+$E$135</x:f>
        <x:v>2.083333333333328</x:v>
      </x:c>
      <x:c r="O159" s="2" t="n">
        <x:f aca="0">IF(AND(C159&lt;&gt;0,ABS(C159)&gt;=0.00000001,MIN(F159:N159)&gt;=-0.000000001),1,0)</x:f>
        <x:v>0</x:v>
      </x:c>
    </x:row>
    <x:row r="160" ht="23" hidden="0" customHeight="1">
      <x:c r="A160" s="2"/>
      <x:c r="B160" s="2" t="s">
        <x:v>139</x:v>
      </x:c>
      <x:c r="C160" s="11" t="n">
        <x:f aca="0">C130*D132-C132*D130</x:f>
        <x:v>-211.6577355176838</x:v>
      </x:c>
      <x:c r="D160" s="11" t="n">
        <x:f aca="0">(D130*E132-D132*E130)/IF(OR(C160=0,ABS(C160)&lt;0.00000001),1,C160)</x:f>
        <x:v>1.8303846671508104</x:v>
      </x:c>
      <x:c r="E160" s="11" t="n">
        <x:f aca="0">(E130*C132-E132*C130)/IF(OR(C160=0,ABS(C160)&lt;0.00000001),1,C160)</x:f>
        <x:v>-2.098029170428931</x:v>
      </x:c>
      <x:c r="F160" s="11" t="n">
        <x:f aca="0">$C$127*D160+$D$127*E160+$E$127</x:f>
        <x:v>1.8303846671508104</x:v>
      </x:c>
      <x:c r="G160" s="11" t="n">
        <x:f aca="0">$C$128*D160+$D$128*E160+$E$128</x:f>
        <x:v>-2.098029170428931</x:v>
      </x:c>
      <x:c r="H160" s="11" t="n">
        <x:f aca="0">$C$129*D160+$D$129*E160+$E$129</x:f>
        <x:v>1.2676445032781205</x:v>
      </x:c>
      <x:c r="I160" s="11" t="n">
        <x:f aca="0">$C$130*D160+$D$130*E160+$E$130</x:f>
        <x:v>0</x:v>
      </x:c>
      <x:c r="J160" s="11" t="n">
        <x:f aca="0">$C$131*D160+$D$131*E160+$E$131</x:f>
        <x:v>3.614325732668952</x:v>
      </x:c>
      <x:c r="K160" s="11" t="n">
        <x:f aca="0">$C$132*D160+$D$132*E160+$E$132</x:f>
        <x:v>0</x:v>
      </x:c>
      <x:c r="L160" s="11" t="n">
        <x:f aca="0">$C$133*D160+$D$133*E160+$E$133</x:f>
        <x:v>3.614325732668952</x:v>
      </x:c>
      <x:c r="M160" s="11" t="n">
        <x:f aca="0">$C$134*D160+$D$134*E160+$E$134</x:f>
        <x:v>1.6815893048634791</x:v>
      </x:c>
      <x:c r="N160" s="11" t="n">
        <x:f aca="0">$C$135*D160+$D$135*E160+$E$135</x:f>
        <x:v>1.932736427805454</x:v>
      </x:c>
      <x:c r="O160" s="2" t="n">
        <x:f aca="0">IF(AND(C160&lt;&gt;0,ABS(C160)&gt;=0.00000001,MIN(F160:N160)&gt;=-0.000000001),1,0)</x:f>
        <x:v>0</x:v>
      </x:c>
    </x:row>
    <x:row r="161" ht="23" hidden="0" customHeight="1">
      <x:c r="A161" s="2"/>
      <x:c r="B161" s="2" t="s">
        <x:v>140</x:v>
      </x:c>
      <x:c r="C161" s="11" t="n">
        <x:f aca="0">C130*D133-C133*D130</x:f>
        <x:v>365.9969794399939</x:v>
      </x:c>
      <x:c r="D161" s="11" t="n">
        <x:f aca="0">(D130*E133-D133*E130)/IF(OR(C161=0,ABS(C161)&lt;0.00000001),1,C161)</x:f>
        <x:v>1.828079871066413</x:v>
      </x:c>
      <x:c r="E161" s="11" t="n">
        <x:f aca="0">(E130*C133-E133*C130)/IF(OR(C161=0,ABS(C161)&lt;0.00000001),1,C161)</x:f>
        <x:v>-1.9020673718308727</x:v>
      </x:c>
      <x:c r="F161" s="11" t="n">
        <x:f aca="0">$C$127*D161+$D$127*E161+$E$127</x:f>
        <x:v>1.828079871066413</x:v>
      </x:c>
      <x:c r="G161" s="11" t="n">
        <x:f aca="0">$C$128*D161+$D$128*E161+$E$128</x:f>
        <x:v>-1.9020673718308727</x:v>
      </x:c>
      <x:c r="H161" s="11" t="n">
        <x:f aca="0">$C$129*D161+$D$129*E161+$E$129</x:f>
        <x:v>1.0739875007644597</x:v>
      </x:c>
      <x:c r="I161" s="11" t="n">
        <x:f aca="0">$C$130*D161+$D$130*E161+$E$130</x:f>
        <x:v>0</x:v>
      </x:c>
      <x:c r="J161" s="11" t="n">
        <x:f aca="0">$C$131*D161+$D$131*E161+$E$131</x:f>
        <x:v>2.090181184474581</x:v>
      </x:c>
      <x:c r="K161" s="11" t="n">
        <x:f aca="0">$C$132*D161+$D$132*E161+$E$132</x:f>
        <x:v>2.09018118447457</x:v>
      </x:c>
      <x:c r="L161" s="11" t="n">
        <x:f aca="0">$C$133*D161+$D$133*E161+$E$133</x:f>
        <x:v>1.4210854715202004e-14</x:v>
      </x:c>
      <x:c r="M161" s="11" t="n">
        <x:f aca="0">$C$134*D161+$D$134*E161+$E$134</x:f>
        <x:v>0.09393873382768447</x:v>
      </x:c>
      <x:c r="N161" s="11" t="n">
        <x:f aca="0">$C$135*D161+$D$135*E161+$E$135</x:f>
        <x:v>1.9962424506468865</x:v>
      </x:c>
      <x:c r="O161" s="2" t="n">
        <x:f aca="0">IF(AND(C161&lt;&gt;0,ABS(C161)&gt;=0.00000001,MIN(F161:N161)&gt;=-0.000000001),1,0)</x:f>
        <x:v>0</x:v>
      </x:c>
    </x:row>
    <x:row r="162" ht="23" hidden="0" customHeight="1">
      <x:c r="A162" s="2"/>
      <x:c r="B162" s="2" t="s">
        <x:v>141</x:v>
      </x:c>
      <x:c r="C162" s="11" t="n">
        <x:f aca="0">C130*D134-C134*D130</x:f>
        <x:v>160.77004575240625</x:v>
      </x:c>
      <x:c r="D162" s="11" t="n">
        <x:f aca="0">(D130*E134-D134*E130)/IF(OR(C162=0,ABS(C162)&lt;0.00000001),1,C162)</x:f>
        <x:v>1.8279434999846091</x:v>
      </x:c>
      <x:c r="E162" s="11" t="n">
        <x:f aca="0">(E130*C134-E134*C130)/IF(OR(C162=0,ABS(C162)&lt;0.00000001),1,C162)</x:f>
        <x:v>-1.890472627008096</x:v>
      </x:c>
      <x:c r="F162" s="11" t="n">
        <x:f aca="0">$C$127*D162+$D$127*E162+$E$127</x:f>
        <x:v>1.8279434999846091</x:v>
      </x:c>
      <x:c r="G162" s="11" t="n">
        <x:f aca="0">$C$128*D162+$D$128*E162+$E$128</x:f>
        <x:v>-1.890472627008096</x:v>
      </x:c>
      <x:c r="H162" s="11" t="n">
        <x:f aca="0">$C$129*D162+$D$129*E162+$E$129</x:f>
        <x:v>1.062529127023487</x:v>
      </x:c>
      <x:c r="I162" s="11" t="n">
        <x:f aca="0">$C$130*D162+$D$130*E162+$E$130</x:f>
        <x:v>-7.105427357601002e-15</x:v>
      </x:c>
      <x:c r="J162" s="11" t="n">
        <x:f aca="0">$C$131*D162+$D$131*E162+$E$131</x:f>
        <x:v>2</x:v>
      </x:c>
      <x:c r="K162" s="11" t="n">
        <x:f aca="0">$C$132*D162+$D$132*E162+$E$132</x:f>
        <x:v>2.2138538474156846</x:v>
      </x:c>
      <x:c r="L162" s="11" t="n">
        <x:f aca="0">$C$133*D162+$D$133*E162+$E$133</x:f>
        <x:v>-0.21385384741568458</x:v>
      </x:c>
      <x:c r="M162" s="11" t="n">
        <x:f aca="0">$C$134*D162+$D$134*E162+$E$134</x:f>
        <x:v>-1.4210854715202004e-14</x:v>
      </x:c>
      <x:c r="N162" s="11" t="n">
        <x:f aca="0">$C$135*D162+$D$135*E162+$E$135</x:f>
        <x:v>1.9999999999999942</x:v>
      </x:c>
      <x:c r="O162" s="2" t="n">
        <x:f aca="0">IF(AND(C162&lt;&gt;0,ABS(C162)&gt;=0.00000001,MIN(F162:N162)&gt;=-0.000000001),1,0)</x:f>
        <x:v>0</x:v>
      </x:c>
    </x:row>
    <x:row r="163" ht="23" hidden="0" customHeight="1">
      <x:c r="A163" s="2"/>
      <x:c r="B163" s="2" t="s">
        <x:v>142</x:v>
      </x:c>
      <x:c r="C163" s="11" t="n">
        <x:f aca="0">C130*D135-C135*D130</x:f>
        <x:v>-6.430801830096325</x:v>
      </x:c>
      <x:c r="D163" s="11" t="n">
        <x:f aca="0">(D130*E135-D135*E130)/IF(OR(C163=0,ABS(C163)&lt;0.00000001),1,C163)</x:f>
        <x:v>1.9005286180970131</x:v>
      </x:c>
      <x:c r="E163" s="11" t="n">
        <x:f aca="0">(E130*C135-E135*C130)/IF(OR(C163=0,ABS(C163)&lt;0.00000001),1,C163)</x:f>
        <x:v>-8.061912431618477</x:v>
      </x:c>
      <x:c r="F163" s="11" t="n">
        <x:f aca="0">$C$127*D163+$D$127*E163+$E$127</x:f>
        <x:v>1.9005286180970131</x:v>
      </x:c>
      <x:c r="G163" s="11" t="n">
        <x:f aca="0">$C$128*D163+$D$128*E163+$E$128</x:f>
        <x:v>-8.061912431618477</x:v>
      </x:c>
      <x:c r="H163" s="11" t="n">
        <x:f aca="0">$C$129*D163+$D$129*E163+$E$129</x:f>
        <x:v>7.161383813521464</x:v>
      </x:c>
      <x:c r="I163" s="11" t="n">
        <x:f aca="0">$C$130*D163+$D$130*E163+$E$130</x:f>
        <x:v>7.105427357601002e-15</x:v>
      </x:c>
      <x:c r="J163" s="11" t="n">
        <x:f aca="0">$C$131*D163+$D$131*E163+$E$131</x:f>
        <x:v>49.99999999999935</x:v>
      </x:c>
      <x:c r="K163" s="11" t="n">
        <x:f aca="0">$C$132*D163+$D$132*E163+$E$132</x:f>
        <x:v>-63.612380923843894</x:v>
      </x:c>
      <x:c r="L163" s="11" t="n">
        <x:f aca="0">$C$133*D163+$D$133*E163+$E$133</x:f>
        <x:v>113.61238092384326</x:v>
      </x:c>
      <x:c r="M163" s="11" t="n">
        <x:f aca="0">$C$134*D163+$D$134*E163+$E$134</x:f>
        <x:v>49.999999999999304</x:v>
      </x:c>
      <x:c r="N163" s="11" t="n">
        <x:f aca="0">$C$135*D163+$D$135*E163+$E$135</x:f>
        <x:v>-1.3322676295501878e-15</x:v>
      </x:c>
      <x:c r="O163" s="2" t="n">
        <x:f aca="0">IF(AND(C163&lt;&gt;0,ABS(C163)&gt;=0.00000001,MIN(F163:N163)&gt;=-0.000000001),1,0)</x:f>
        <x:v>0</x:v>
      </x:c>
    </x:row>
    <x:row r="164" ht="23" hidden="0" customHeight="1">
      <x:c r="A164" s="2"/>
      <x:c r="B164" s="2" t="s">
        <x:v>143</x:v>
      </x:c>
      <x:c r="C164" s="11" t="n">
        <x:f aca="0">C131*D132-C132*D131</x:f>
        <x:v>-339.74396525629686</x:v>
      </x:c>
      <x:c r="D164" s="11" t="n">
        <x:f aca="0">(D131*E132-D132*E131)/IF(OR(C164=0,ABS(C164)&lt;0.00000001),1,C164)</x:f>
        <x:v>1.943583326812964</x:v>
      </x:c>
      <x:c r="E164" s="11" t="n">
        <x:f aca="0">(E131*C132-E132*C131)/IF(OR(C164=0,ABS(C164)&lt;0.00000001),1,C164)</x:f>
        <x:v>-2.0748033507456136</x:v>
      </x:c>
      <x:c r="F164" s="11" t="n">
        <x:f aca="0">$C$127*D164+$D$127*E164+$E$127</x:f>
        <x:v>1.943583326812964</x:v>
      </x:c>
      <x:c r="G164" s="11" t="n">
        <x:f aca="0">$C$128*D164+$D$128*E164+$E$128</x:f>
        <x:v>-2.0748033507456136</x:v>
      </x:c>
      <x:c r="H164" s="11" t="n">
        <x:f aca="0">$C$129*D164+$D$129*E164+$E$129</x:f>
        <x:v>1.1312200239326495</x:v>
      </x:c>
      <x:c r="I164" s="11" t="n">
        <x:f aca="0">$C$130*D164+$D$130*E164+$E$130</x:f>
        <x:v>-2.2516956244473647</x:v>
      </x:c>
      <x:c r="J164" s="11" t="n">
        <x:f aca="0">$C$131*D164+$D$131*E164+$E$131</x:f>
        <x:v>7.105427357601002e-15</x:v>
      </x:c>
      <x:c r="K164" s="11" t="n">
        <x:f aca="0">$C$132*D164+$D$132*E164+$E$132</x:f>
        <x:v>-3.552713678800501e-15</x:v>
      </x:c>
      <x:c r="L164" s="11" t="n">
        <x:f aca="0">$C$133*D164+$D$133*E164+$E$133</x:f>
        <x:v>-2.2516956244473647</x:v>
      </x:c>
      <x:c r="M164" s="11" t="n">
        <x:f aca="0">$C$134*D164+$D$134*E164+$E$134</x:f>
        <x:v>-4.428849608799339</x:v>
      </x:c>
      <x:c r="N164" s="11" t="n">
        <x:f aca="0">$C$135*D164+$D$135*E164+$E$135</x:f>
        <x:v>2.1771539843519667</x:v>
      </x:c>
      <x:c r="O164" s="2" t="n">
        <x:f aca="0">IF(AND(C164&lt;&gt;0,ABS(C164)&gt;=0.00000001,MIN(F164:N164)&gt;=-0.000000001),1,0)</x:f>
        <x:v>0</x:v>
      </x:c>
    </x:row>
    <x:row r="165" ht="23" hidden="0" customHeight="1">
      <x:c r="A165" s="2"/>
      <x:c r="B165" s="2" t="s">
        <x:v>144</x:v>
      </x:c>
      <x:c r="C165" s="11" t="n">
        <x:f aca="0">C131*D133-C133*D131</x:f>
        <x:v>185.4047213339868</x:v>
      </x:c>
      <x:c r="D165" s="11" t="n">
        <x:f aca="0">(D131*E133-D133*E131)/IF(OR(C165=0,ABS(C165)&lt;0.00000001),1,C165)</x:f>
        <x:v>2.0423647592307423</x:v>
      </x:c>
      <x:c r="E165" s="11" t="n">
        <x:f aca="0">(E131*C133-E133*C131)/IF(OR(C165=0,ABS(C165)&lt;0.00000001),1,C165)</x:f>
        <x:v>-2.4423062408169915</x:v>
      </x:c>
      <x:c r="F165" s="11" t="n">
        <x:f aca="0">$C$127*D165+$D$127*E165+$E$127</x:f>
        <x:v>2.0423647592307423</x:v>
      </x:c>
      <x:c r="G165" s="11" t="n">
        <x:f aca="0">$C$128*D165+$D$128*E165+$E$128</x:f>
        <x:v>-2.4423062408169915</x:v>
      </x:c>
      <x:c r="H165" s="11" t="n">
        <x:f aca="0">$C$129*D165+$D$129*E165+$E$129</x:f>
        <x:v>1.3999414815862492</x:v>
      </x:c>
      <x:c r="I165" s="11" t="n">
        <x:f aca="0">$C$130*D165+$D$130*E165+$E$130</x:f>
        <x:v>-4.126108518142516</x:v>
      </x:c>
      <x:c r="J165" s="11" t="n">
        <x:f aca="0">$C$131*D165+$D$131*E165+$E$131</x:f>
        <x:v>7.105427357601002e-15</x:v>
      </x:c>
      <x:c r="K165" s="11" t="n">
        <x:f aca="0">$C$132*D165+$D$132*E165+$E$132</x:f>
        <x:v>-4.126108518142523</x:v>
      </x:c>
      <x:c r="L165" s="11" t="n">
        <x:f aca="0">$C$133*D165+$D$133*E165+$E$133</x:f>
        <x:v>1.4210854715202004e-14</x:v>
      </x:c>
      <x:c r="M165" s="11" t="n">
        <x:f aca="0">$C$134*D165+$D$134*E165+$E$134</x:f>
        <x:v>-6.381363039731781</x:v>
      </x:c>
      <x:c r="N165" s="11" t="n">
        <x:f aca="0">$C$135*D165+$D$135*E165+$E$135</x:f>
        <x:v>2.255254521589262</x:v>
      </x:c>
      <x:c r="O165" s="2" t="n">
        <x:f aca="0">IF(AND(C165&lt;&gt;0,ABS(C165)&gt;=0.00000001,MIN(F165:N165)&gt;=-0.000000001),1,0)</x:f>
        <x:v>0</x:v>
      </x:c>
    </x:row>
    <x:row r="166" ht="23" hidden="0" customHeight="1">
      <x:c r="A166" s="2"/>
      <x:c r="B166" s="2" t="s">
        <x:v>145</x:v>
      </x:c>
      <x:c r="C166" s="11" t="n">
        <x:f aca="0">C131*D134-C134*D131</x:f>
        <x:v>-160.77004575240642</x:v>
      </x:c>
      <x:c r="D166" s="11" t="n">
        <x:f aca="0">(D131*E134-D134*E131)/IF(OR(C166=0,ABS(C166)&lt;0.00000001),1,C166)</x:f>
        <x:v>1.7195192556576684</x:v>
      </x:c>
      <x:c r="E166" s="11" t="n">
        <x:f aca="0">(E131*C134-E134*C131)/IF(OR(C166=0,ABS(C166)&lt;0.00000001),1,C166)</x:f>
        <x:v>-1.2412034353033057</x:v>
      </x:c>
      <x:c r="F166" s="11" t="n">
        <x:f aca="0">$C$127*D166+$D$127*E166+$E$127</x:f>
        <x:v>1.7195192556576684</x:v>
      </x:c>
      <x:c r="G166" s="11" t="n">
        <x:f aca="0">$C$128*D166+$D$128*E166+$E$128</x:f>
        <x:v>-1.2412034353033057</x:v>
      </x:c>
      <x:c r="H166" s="11" t="n">
        <x:f aca="0">$C$129*D166+$D$129*E166+$E$129</x:f>
        <x:v>0.5216841796456373</x:v>
      </x:c>
      <x:c r="I166" s="11" t="n">
        <x:f aca="0">$C$130*D166+$D$130*E166+$E$130</x:f>
        <x:v>2.0000000000000213</x:v>
      </x:c>
      <x:c r="J166" s="11" t="n">
        <x:f aca="0">$C$131*D166+$D$131*E166+$E$131</x:f>
        <x:v>0</x:v>
      </x:c>
      <x:c r="K166" s="11" t="n">
        <x:f aca="0">$C$132*D166+$D$132*E166+$E$132</x:f>
        <x:v>9.359174593596666</x:v>
      </x:c>
      <x:c r="L166" s="11" t="n">
        <x:f aca="0">$C$133*D166+$D$133*E166+$E$133</x:f>
        <x:v>-7.3591745935966415</x:v>
      </x:c>
      <x:c r="M166" s="11" t="n">
        <x:f aca="0">$C$134*D166+$D$134*E166+$E$134</x:f>
        <x:v>0</x:v>
      </x:c>
      <x:c r="N166" s="11" t="n">
        <x:f aca="0">$C$135*D166+$D$135*E166+$E$135</x:f>
        <x:v>1.999999999999996</x:v>
      </x:c>
      <x:c r="O166" s="2" t="n">
        <x:f aca="0">IF(AND(C166&lt;&gt;0,ABS(C166)&gt;=0.00000001,MIN(F166:N166)&gt;=-0.000000001),1,0)</x:f>
        <x:v>0</x:v>
      </x:c>
    </x:row>
    <x:row r="167" ht="23" hidden="0" customHeight="1">
      <x:c r="A167" s="2"/>
      <x:c r="B167" s="2" t="s">
        <x:v>146</x:v>
      </x:c>
      <x:c r="C167" s="11" t="n">
        <x:f aca="0">C131*D135-C135*D131</x:f>
        <x:v>6.430801830096115</x:v>
      </x:c>
      <x:c r="D167" s="11" t="n">
        <x:f aca="0">(D131*E135-D135*E131)/IF(OR(C167=0,ABS(C167)&lt;0.00000001),1,C167)</x:f>
        <x:v>-0.8100774900765213</x:v>
      </x:c>
      <x:c r="E167" s="11" t="n">
        <x:f aca="0">(E131*C135-E135*C131)/IF(OR(C167=0,ABS(C167)&lt;0.00000001),1,C167)</x:f>
        <x:v>8.16981736100127</x:v>
      </x:c>
      <x:c r="F167" s="11" t="n">
        <x:f aca="0">$C$127*D167+$D$127*E167+$E$127</x:f>
        <x:v>-0.8100774900765213</x:v>
      </x:c>
      <x:c r="G167" s="11" t="n">
        <x:f aca="0">$C$128*D167+$D$128*E167+$E$128</x:f>
        <x:v>8.16981736100127</x:v>
      </x:c>
      <x:c r="H167" s="11" t="n">
        <x:f aca="0">$C$129*D167+$D$129*E167+$E$129</x:f>
        <x:v>-6.359739870924749</x:v>
      </x:c>
      <x:c r="I167" s="11" t="n">
        <x:f aca="0">$C$130*D167+$D$130*E167+$E$130</x:f>
        <x:v>50.00000000000094</x:v>
      </x:c>
      <x:c r="J167" s="11" t="n">
        <x:f aca="0">$C$131*D167+$D$131*E167+$E$131</x:f>
        <x:v>-7.105427357601002e-15</x:v>
      </x:c>
      <x:c r="K167" s="11" t="n">
        <x:f aca="0">$C$132*D167+$D$132*E167+$E$132</x:f>
        <x:v>115.02063773068056</x:v>
      </x:c>
      <x:c r="L167" s="11" t="n">
        <x:f aca="0">$C$133*D167+$D$133*E167+$E$133</x:f>
        <x:v>-65.02063773067965</x:v>
      </x:c>
      <x:c r="M167" s="11" t="n">
        <x:f aca="0">$C$134*D167+$D$134*E167+$E$134</x:f>
        <x:v>50.00000000000097</x:v>
      </x:c>
      <x:c r="N167" s="11" t="n">
        <x:f aca="0">$C$135*D167+$D$135*E167+$E$135</x:f>
        <x:v>4.440892098500626e-16</x:v>
      </x:c>
      <x:c r="O167" s="2" t="n">
        <x:f aca="0">IF(AND(C167&lt;&gt;0,ABS(C167)&gt;=0.00000001,MIN(F167:N167)&gt;=-0.000000001),1,0)</x:f>
        <x:v>0</x:v>
      </x:c>
    </x:row>
    <x:row r="168" ht="23" hidden="0" customHeight="1">
      <x:c r="A168" s="2"/>
      <x:c r="B168" s="2" t="s">
        <x:v>147</x:v>
      </x:c>
      <x:c r="C168" s="11" t="n">
        <x:f aca="0">C132*D133-C133*D132</x:f>
        <x:v>551.4017007739807</x:v>
      </x:c>
      <x:c r="D168" s="11" t="n">
        <x:f aca="0">(D132*E133-D133*E132)/IF(OR(C168=0,ABS(C168)&lt;0.00000001),1,C168)</x:f>
        <x:v>1.9001315711616893</x:v>
      </x:c>
      <x:c r="E168" s="11" t="n">
        <x:f aca="0">(E132*C133-E133*C132)/IF(OR(C168=0,ABS(C168)&lt;0.00000001),1,C168)</x:f>
        <x:v>-2.0837186739896527</x:v>
      </x:c>
      <x:c r="F168" s="11" t="n">
        <x:f aca="0">$C$127*D168+$D$127*E168+$E$127</x:f>
        <x:v>1.9001315711616893</x:v>
      </x:c>
      <x:c r="G168" s="11" t="n">
        <x:f aca="0">$C$128*D168+$D$128*E168+$E$128</x:f>
        <x:v>-2.0837186739896527</x:v>
      </x:c>
      <x:c r="H168" s="11" t="n">
        <x:f aca="0">$C$129*D168+$D$129*E168+$E$129</x:f>
        <x:v>1.1835871028279634</x:v>
      </x:c>
      <x:c r="I168" s="11" t="n">
        <x:f aca="0">$C$130*D168+$D$130*E168+$E$130</x:f>
        <x:v>-1.3873733050264505</x:v>
      </x:c>
      <x:c r="J168" s="11" t="n">
        <x:f aca="0">$C$131*D168+$D$131*E168+$E$131</x:f>
        <x:v>1.3873733050264505</x:v>
      </x:c>
      <x:c r="K168" s="11" t="n">
        <x:f aca="0">$C$132*D168+$D$132*E168+$E$132</x:f>
        <x:v>0</x:v>
      </x:c>
      <x:c r="L168" s="11" t="n">
        <x:f aca="0">$C$133*D168+$D$133*E168+$E$133</x:f>
        <x:v>0</x:v>
      </x:c>
      <x:c r="M168" s="11" t="n">
        <x:f aca="0">$C$134*D168+$D$134*E168+$E$134</x:f>
        <x:v>-2.083333333333343</x:v>
      </x:c>
      <x:c r="N168" s="11" t="n">
        <x:f aca="0">$C$135*D168+$D$135*E168+$E$135</x:f>
        <x:v>2.0833333333333264</x:v>
      </x:c>
      <x:c r="O168" s="2" t="n">
        <x:f aca="0">IF(AND(C168&lt;&gt;0,ABS(C168)&gt;=0.00000001,MIN(F168:N168)&gt;=-0.000000001),1,0)</x:f>
        <x:v>0</x:v>
      </x:c>
    </x:row>
    <x:row r="169" ht="23" hidden="0" customHeight="1">
      <x:c r="A169" s="2"/>
      <x:c r="B169" s="2" t="s">
        <x:v>148</x:v>
      </x:c>
      <x:c r="C169" s="11" t="n">
        <x:f aca="0">C132*D134-C134*D132</x:f>
        <x:v>574.3767716395631</x:v>
      </x:c>
      <x:c r="D169" s="11" t="n">
        <x:f aca="0">(D132*E134-D134*E132)/IF(OR(C169=0,ABS(C169)&lt;0.00000001),1,C169)</x:f>
        <x:v>1.8615368737438802</x:v>
      </x:c>
      <x:c r="E169" s="11" t="n">
        <x:f aca="0">(E132*C134-E134*C132)/IF(OR(C169=0,ABS(C169)&lt;0.00000001),1,C169)</x:f>
        <x:v>-2.0916374380954603</x:v>
      </x:c>
      <x:c r="F169" s="11" t="n">
        <x:f aca="0">$C$127*D169+$D$127*E169+$E$127</x:f>
        <x:v>1.8615368737438802</x:v>
      </x:c>
      <x:c r="G169" s="11" t="n">
        <x:f aca="0">$C$128*D169+$D$128*E169+$E$128</x:f>
        <x:v>-2.0916374380954603</x:v>
      </x:c>
      <x:c r="H169" s="11" t="n">
        <x:f aca="0">$C$129*D169+$D$129*E169+$E$129</x:f>
        <x:v>1.23010056435158</x:v>
      </x:c>
      <x:c r="I169" s="11" t="n">
        <x:f aca="0">$C$130*D169+$D$130*E169+$E$130</x:f>
        <x:v>-0.6196653519294983</x:v>
      </x:c>
      <x:c r="J169" s="11" t="n">
        <x:f aca="0">$C$131*D169+$D$131*E169+$E$131</x:f>
        <x:v>2.6196653519295054</x:v>
      </x:c>
      <x:c r="K169" s="11" t="n">
        <x:f aca="0">$C$132*D169+$D$132*E169+$E$132</x:f>
        <x:v>0</x:v>
      </x:c>
      <x:c r="L169" s="11" t="n">
        <x:f aca="0">$C$133*D169+$D$133*E169+$E$133</x:f>
        <x:v>2.0000000000000213</x:v>
      </x:c>
      <x:c r="M169" s="11" t="n">
        <x:f aca="0">$C$134*D169+$D$134*E169+$E$134</x:f>
        <x:v>1.4210854715202004e-14</x:v>
      </x:c>
      <x:c r="N169" s="11" t="n">
        <x:f aca="0">$C$135*D169+$D$135*E169+$E$135</x:f>
        <x:v>1.9999999999999925</x:v>
      </x:c>
      <x:c r="O169" s="2" t="n">
        <x:f aca="0">IF(AND(C169&lt;&gt;0,ABS(C169)&gt;=0.00000001,MIN(F169:N169)&gt;=-0.000000001),1,0)</x:f>
        <x:v>0</x:v>
      </x:c>
    </x:row>
    <x:row r="170" ht="23" hidden="0" customHeight="1">
      <x:c r="A170" s="2"/>
      <x:c r="B170" s="2" t="s">
        <x:v>149</x:v>
      </x:c>
      <x:c r="C170" s="11" t="n">
        <x:f aca="0">C132*D135-C135*D132</x:f>
        <x:v>-22.975070865582495</x:v>
      </x:c>
      <x:c r="D170" s="11" t="n">
        <x:f aca="0">(D132*E135-D135*E132)/IF(OR(C170=0,ABS(C170)&lt;0.00000001),1,C170)</x:f>
        <x:v>0.9352641357164737</x:v>
      </x:c>
      <x:c r="E170" s="11" t="n">
        <x:f aca="0">(E132*C135-E135*C132)/IF(OR(C170=0,ABS(C170)&lt;0.00000001),1,C170)</x:f>
        <x:v>-2.281687776634848</x:v>
      </x:c>
      <x:c r="F170" s="11" t="n">
        <x:f aca="0">$C$127*D170+$D$127*E170+$E$127</x:f>
        <x:v>0.9352641357164737</x:v>
      </x:c>
      <x:c r="G170" s="11" t="n">
        <x:f aca="0">$C$128*D170+$D$128*E170+$E$128</x:f>
        <x:v>-2.281687776634848</x:v>
      </x:c>
      <x:c r="H170" s="11" t="n">
        <x:f aca="0">$C$129*D170+$D$129*E170+$E$129</x:f>
        <x:v>2.346423640918374</x:v>
      </x:c>
      <x:c r="I170" s="11" t="n">
        <x:f aca="0">$C$130*D170+$D$130*E170+$E$130</x:f>
        <x:v>17.80532552239717</x:v>
      </x:c>
      <x:c r="J170" s="11" t="n">
        <x:f aca="0">$C$131*D170+$D$131*E170+$E$131</x:f>
        <x:v>32.19467447760273</x:v>
      </x:c>
      <x:c r="K170" s="11" t="n">
        <x:f aca="0">$C$132*D170+$D$132*E170+$E$132</x:f>
        <x:v>-7.105427357601002e-15</x:v>
      </x:c>
      <x:c r="L170" s="11" t="n">
        <x:f aca="0">$C$133*D170+$D$133*E170+$E$133</x:f>
        <x:v>49.9999999999999</x:v>
      </x:c>
      <x:c r="M170" s="11" t="n">
        <x:f aca="0">$C$134*D170+$D$134*E170+$E$134</x:f>
        <x:v>49.99999999999988</x:v>
      </x:c>
      <x:c r="N170" s="11" t="n">
        <x:f aca="0">$C$135*D170+$D$135*E170+$E$135</x:f>
        <x:v>0</x:v>
      </x:c>
      <x:c r="O170" s="2" t="n">
        <x:f aca="0">IF(AND(C170&lt;&gt;0,ABS(C170)&gt;=0.00000001,MIN(F170:N170)&gt;=-0.000000001),1,0)</x:f>
        <x:v>0</x:v>
      </x:c>
    </x:row>
    <x:row r="171" ht="23" hidden="0" customHeight="1">
      <x:c r="A171" s="2"/>
      <x:c r="B171" s="2" t="s">
        <x:v>150</x:v>
      </x:c>
      <x:c r="C171" s="11" t="n">
        <x:f aca="0">C133*D134-C134*D133</x:f>
        <x:v>-574.3767716395632</x:v>
      </x:c>
      <x:c r="D171" s="11" t="n">
        <x:f aca="0">(D133*E134-D134*E133)/IF(OR(C171=0,ABS(C171)&lt;0.00000001),1,C171)</x:f>
        <x:v>1.8311885526038136</x:v>
      </x:c>
      <x:c r="E171" s="11" t="n">
        <x:f aca="0">(E133*C134-E134*C133)/IF(OR(C171=0,ABS(C171)&lt;0.00000001),1,C171)</x:f>
        <x:v>-1.909904744835522</x:v>
      </x:c>
      <x:c r="F171" s="11" t="n">
        <x:f aca="0">$C$127*D171+$D$127*E171+$E$127</x:f>
        <x:v>1.8311885526038136</x:v>
      </x:c>
      <x:c r="G171" s="11" t="n">
        <x:f aca="0">$C$128*D171+$D$128*E171+$E$128</x:f>
        <x:v>-1.909904744835522</x:v>
      </x:c>
      <x:c r="H171" s="11" t="n">
        <x:f aca="0">$C$129*D171+$D$129*E171+$E$129</x:f>
        <x:v>1.0787161922317083</x:v>
      </x:c>
      <x:c r="I171" s="11" t="n">
        <x:f aca="0">$C$130*D171+$D$130*E171+$E$130</x:f>
        <x:v>-0.05985843183595563</x:v>
      </x:c>
      <x:c r="J171" s="11" t="n">
        <x:f aca="0">$C$131*D171+$D$131*E171+$E$131</x:f>
        <x:v>2.05985843183597</x:v>
      </x:c>
      <x:c r="K171" s="11" t="n">
        <x:f aca="0">$C$132*D171+$D$132*E171+$E$132</x:f>
        <x:v>2</x:v>
      </x:c>
      <x:c r="L171" s="11" t="n">
        <x:f aca="0">$C$133*D171+$D$133*E171+$E$133</x:f>
        <x:v>7.105427357601002e-15</x:v>
      </x:c>
      <x:c r="M171" s="11" t="n">
        <x:f aca="0">$C$134*D171+$D$134*E171+$E$134</x:f>
        <x:v>0</x:v>
      </x:c>
      <x:c r="N171" s="11" t="n">
        <x:f aca="0">$C$135*D171+$D$135*E171+$E$135</x:f>
        <x:v>1.9999999999999933</x:v>
      </x:c>
      <x:c r="O171" s="2" t="n">
        <x:f aca="0">IF(AND(C171&lt;&gt;0,ABS(C171)&gt;=0.00000001,MIN(F171:N171)&gt;=-0.000000001),1,0)</x:f>
        <x:v>0</x:v>
      </x:c>
    </x:row>
    <x:row r="172" ht="23" hidden="0" customHeight="1">
      <x:c r="A172" s="2"/>
      <x:c r="B172" s="2" t="s">
        <x:v>151</x:v>
      </x:c>
      <x:c r="C172" s="11" t="n">
        <x:f aca="0">C133*D135-C135*D133</x:f>
        <x:v>22.975070865582293</x:v>
      </x:c>
      <x:c r="D172" s="11" t="n">
        <x:f aca="0">(D133*E135-D135*E133)/IF(OR(C172=0,ABS(C172)&lt;0.00000001),1,C172)</x:f>
        <x:v>0.17655610721479578</x:v>
      </x:c>
      <x:c r="E172" s="11" t="n">
        <x:f aca="0">(E133*C135-E135*C133)/IF(OR(C172=0,ABS(C172)&lt;0.00000001),1,C172)</x:f>
        <x:v>2.2616295548636365</x:v>
      </x:c>
      <x:c r="F172" s="11" t="n">
        <x:f aca="0">$C$127*D172+$D$127*E172+$E$127</x:f>
        <x:v>0.17655610721479578</x:v>
      </x:c>
      <x:c r="G172" s="11" t="n">
        <x:f aca="0">$C$128*D172+$D$128*E172+$E$128</x:f>
        <x:v>2.2616295548636365</x:v>
      </x:c>
      <x:c r="H172" s="11" t="n">
        <x:f aca="0">$C$129*D172+$D$129*E172+$E$129</x:f>
        <x:v>-1.4381856620784323</x:v>
      </x:c>
      <x:c r="I172" s="11" t="n">
        <x:f aca="0">$C$130*D172+$D$130*E172+$E$130</x:f>
        <x:v>31.80049852473586</x:v>
      </x:c>
      <x:c r="J172" s="11" t="n">
        <x:f aca="0">$C$131*D172+$D$131*E172+$E$131</x:f>
        <x:v>18.199501475264483</x:v>
      </x:c>
      <x:c r="K172" s="11" t="n">
        <x:f aca="0">$C$132*D172+$D$132*E172+$E$132</x:f>
        <x:v>50.00000000000034</x:v>
      </x:c>
      <x:c r="L172" s="11" t="n">
        <x:f aca="0">$C$133*D172+$D$133*E172+$E$133</x:f>
        <x:v>0</x:v>
      </x:c>
      <x:c r="M172" s="11" t="n">
        <x:f aca="0">$C$134*D172+$D$134*E172+$E$134</x:f>
        <x:v>50.000000000000355</x:v>
      </x:c>
      <x:c r="N172" s="11" t="n">
        <x:f aca="0">$C$135*D172+$D$135*E172+$E$135</x:f>
        <x:v>0</x:v>
      </x:c>
      <x:c r="O172" s="2" t="n">
        <x:f aca="0">IF(AND(C172&lt;&gt;0,ABS(C172)&gt;=0.00000001,MIN(F172:N172)&gt;=-0.000000001),1,0)</x:f>
        <x:v>0</x:v>
      </x:c>
    </x:row>
    <x:row r="173" ht="23" hidden="0" customHeight="1">
      <x:c r="A173" s="2"/>
      <x:c r="B173" s="2" t="s">
        <x:v>152</x:v>
      </x:c>
      <x:c r="C173" s="11" t="n">
        <x:f aca="0">C134*D135-C135*D134</x:f>
        <x:v>-2.2382096176443156e-13</x:v>
      </x:c>
      <x:c r="D173" s="11" t="n">
        <x:f aca="0">(D134*E135-D135*E134)/IF(OR(C173=0,ABS(C173)&lt;0.00000001),1,C173)</x:f>
        <x:v>-17.43137072111248</x:v>
      </x:c>
      <x:c r="E173" s="11" t="n">
        <x:f aca="0">(E134*C135-E135*C134)/IF(OR(C173=0,ABS(C173)&lt;0.00000001),1,C173)</x:f>
        <x:v>104.38303765600637</x:v>
      </x:c>
      <x:c r="F173" s="11" t="n">
        <x:f aca="0">$C$127*D173+$D$127*E173+$E$127</x:f>
        <x:v>-17.43137072111248</x:v>
      </x:c>
      <x:c r="G173" s="11" t="n">
        <x:f aca="0">$C$128*D173+$D$128*E173+$E$128</x:f>
        <x:v>104.38303765600637</x:v>
      </x:c>
      <x:c r="H173" s="11" t="n">
        <x:f aca="0">$C$129*D173+$D$129*E173+$E$129</x:f>
        <x:v>-85.9516669348939</x:v>
      </x:c>
      <x:c r="I173" s="11" t="n">
        <x:f aca="0">$C$130*D173+$D$130*E173+$E$130</x:f>
        <x:v>357.3719504895407</x:v>
      </x:c>
      <x:c r="J173" s="11" t="n">
        <x:f aca="0">$C$131*D173+$D$131*E173+$E$131</x:f>
        <x:v>-279.60262281314704</x:v>
      </x:c>
      <x:c r="K173" s="11" t="n">
        <x:f aca="0">$C$132*D173+$D$132*E173+$E$132</x:f>
        <x:v>1175.0739274803025</x:v>
      </x:c>
      <x:c r="L173" s="11" t="n">
        <x:f aca="0">$C$133*D173+$D$133*E173+$E$133</x:f>
        <x:v>-1097.304599803909</x:v>
      </x:c>
      <x:c r="M173" s="11" t="n">
        <x:f aca="0">$C$134*D173+$D$134*E173+$E$134</x:f>
        <x:v>78.92638299624375</x:v>
      </x:c>
      <x:c r="N173" s="11" t="n">
        <x:f aca="0">$C$135*D173+$D$135*E173+$E$135</x:f>
        <x:v>-1.1570553198492988</x:v>
      </x:c>
      <x:c r="O173" s="2" t="n">
        <x:f aca="0">IF(AND(C173&lt;&gt;0,ABS(C173)&gt;=0.00000001,MIN(F173:N173)&gt;=-0.000000001),1,0)</x:f>
        <x:v>0</x:v>
      </x:c>
    </x:row>
    <x:row r="174" ht="23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 ht="23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795AA"/>
  </x:sheetPr>
  <x:sheetViews>
    <x:sheetView showGridLines="1" workbookViewId="0"/>
  </x:sheetViews>
  <x:sheetFormatPr defaultColWidth="11.53515625" defaultRowHeight="12.800000190734863"/>
  <x:cols>
    <x:col min="1" max="1" width="3" style="1" hidden="0" customWidth="1"/>
    <x:col min="2" max="2" width="19" style="1" hidden="0" customWidth="1"/>
    <x:col min="3" max="3" width="17" style="1" hidden="0" customWidth="1"/>
    <x:col min="4" max="6" width="14" style="1" hidden="0" customWidth="1"/>
    <x:col min="7" max="7" width="12" style="1" hidden="0" customWidth="1"/>
    <x:col min="8" max="8" width="31" style="1" hidden="0" customWidth="1"/>
    <x:col min="9" max="9" width="3" style="1" hidden="0" customWidth="1"/>
    <x:col min="10" max="1024" width="8.680000305175781" style="1" hidden="0" customWidth="1"/>
  </x:cols>
  <x:sheetData>
    <x:row r="1" ht="24" hidden="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hidden="0" customHeight="1">
      <x:c r="A2" s="2"/>
      <x:c r="B2" s="3" t="s">
        <x:v>153</x:v>
      </x:c>
      <x:c r="C2" s="2"/>
      <x:c r="D2" s="2"/>
      <x:c r="E2" s="2"/>
      <x:c r="F2" s="2"/>
      <x:c r="G2" s="2"/>
      <x:c r="H2" s="2"/>
      <x:c r="I2" s="2"/>
    </x:row>
    <x:row r="3" ht="24" hidden="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hidden="0" customHeight="1">
      <x:c r="A4" s="2"/>
      <x:c r="B4" s="12" t="e">
        <x:f aca="0">HYPERLINK("#'Calculadora'!G33","Voltar à calculadora")</x:f>
        <x:v>HYPERLINK is not implemented. linkLocation=#'Calculadora'!G33, friendlyName=Voltar à calculadora</x:v>
      </x:c>
      <x:c r="C4" s="2"/>
      <x:c r="D4" s="2"/>
      <x:c r="E4" s="2"/>
      <x:c r="F4" s="2"/>
      <x:c r="G4" s="2"/>
      <x:c r="H4" s="2"/>
      <x:c r="I4" s="2"/>
    </x:row>
    <x:row r="5" ht="24" hidden="0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hidden="0" customHeight="1">
      <x:c r="A6" s="2"/>
      <x:c r="B6" s="10" t="str">
        <x:f aca="0">Calculadora!G34</x:f>
        <x:v>Parcialmente no volume</x:v>
      </x:c>
      <x:c r="C6" s="10"/>
      <x:c r="D6" s="10"/>
      <x:c r="E6" s="10"/>
      <x:c r="F6" s="10"/>
      <x:c r="G6" s="10"/>
      <x:c r="H6" s="10"/>
      <x:c r="I6" s="2"/>
    </x:row>
    <x:row r="7" ht="24" hidden="0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hidden="0" customHeight="1">
      <x:c r="A8" s="2"/>
      <x:c r="B8" s="13" t="str">
        <x:f aca="0">IF(Matrizes!$C$107&lt;&gt;"OK","Preencha os dados válidos para ver a explicação. "&amp;Matrizes!C107,IF(B6="Dentro do volume","O triângulo inteiro está dentro dos seis limites da câmera. Ele cabe no enquadramento e fica entre o Near e o Far.",IF(B6="Parcialmente no volume","Uma parte do triângulo está dentro e será mantida; a parte que ultrapassa os limites será cortada. Há vértices fora nestas direções: "&amp;IF(G15&gt;0,"esquerda; ","")&amp;IF(G16&gt;0,"direita; ","")&amp;IF(G17&gt;0,"abaixo; ","")&amp;IF(G18&gt;0,"acima; ","")&amp;IF(G19&gt;0,"antes do Near; ","")&amp;IF(G20&gt;0,"além do Far; ","")&amp;"Veja quais vértices na tabela.",IF(MAX(Matrizes!G104:I104)&lt;=0,"O triângulo inteiro está atrás da câmera ou no plano do olho. A câmera olha para o outro lado; por isso, ele não aparece.",IF(G20=3,"O triângulo inteiro ultrapassou o Far = "&amp;Calculadora!E39&amp;". O Z normalizado deveria ser no máximo 1, mas ficou A = "&amp;ROUND(D20,6)&amp;", B = "&amp;ROUND(E20,6)&amp;" e C = "&amp;ROUND(F20,6)&amp;". Como os três valores são maiores que 1, o triângulo inteiro fica fora do volume.",IF(G19=3,"O triângulo inteiro está antes do Near = "&amp;Calculadora!C39&amp;". As profundidades são "&amp;"A = "&amp;ROUND(Matrizes!G104,3)&amp;", B = "&amp;ROUND(Matrizes!H104,3)&amp;" e C = "&amp;ROUND(Matrizes!I104,3)&amp;". Os três valores ficam abaixo do mínimo; por isso, nenhuma parte do triângulo aparece.",IF(MAX(G15:G20)=3,"O triângulo inteiro está fora do enquadramento: os três vértices ficam "&amp;IF(G15=3,"esquerda; ","")&amp;IF(G16=3,"direita; ","")&amp;IF(G17=3,"abaixo; ","")&amp;IF(G18=3,"acima; ","")&amp;IF(G19=3,"antes do Near; ","")&amp;IF(G20=3,"além do Far; ","")&amp;"Nenhuma parte permanece dentro da área vista pela câmera.","O triângulo passa por fora do volume da câmera. Mesmo testando suas arestas e seu interior, nenhuma parte fica dentro dos seis limites ao mesmo tempo.")))))))</x:f>
        <x:v>Uma parte do triângulo está dentro e será mantida; a parte que ultrapassa os limites será cortada. Há vértices fora nestas direções: além do Far; Veja quais vértices na tabela.</x:v>
      </x:c>
      <x:c r="C8" s="13"/>
      <x:c r="D8" s="13"/>
      <x:c r="E8" s="13"/>
      <x:c r="F8" s="13"/>
      <x:c r="G8" s="13"/>
      <x:c r="H8" s="13"/>
      <x:c r="I8" s="2"/>
    </x:row>
    <x:row r="9" ht="24" hidden="0" customHeight="1">
      <x:c r="A9" s="2"/>
      <x:c r="B9" s="13"/>
      <x:c r="C9" s="13"/>
      <x:c r="D9" s="13"/>
      <x:c r="E9" s="13"/>
      <x:c r="F9" s="13"/>
      <x:c r="G9" s="13"/>
      <x:c r="H9" s="13"/>
      <x:c r="I9" s="2"/>
    </x:row>
    <x:row r="10" ht="24" hidden="0" customHeight="1">
      <x:c r="A10" s="2"/>
      <x:c r="B10" s="13"/>
      <x:c r="C10" s="13"/>
      <x:c r="D10" s="13"/>
      <x:c r="E10" s="13"/>
      <x:c r="F10" s="13"/>
      <x:c r="G10" s="13"/>
      <x:c r="H10" s="13"/>
      <x:c r="I10" s="2"/>
    </x:row>
    <x:row r="11" ht="24" hidden="0" customHeight="1">
      <x:c r="A11" s="2"/>
      <x:c r="B11" s="13"/>
      <x:c r="C11" s="13"/>
      <x:c r="D11" s="13"/>
      <x:c r="E11" s="13"/>
      <x:c r="F11" s="13"/>
      <x:c r="G11" s="13"/>
      <x:c r="H11" s="13"/>
      <x:c r="I11" s="2"/>
    </x:row>
    <x:row r="12" ht="24" hidden="0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hidden="0" customHeight="1">
      <x:c r="A13" s="2"/>
      <x:c r="B13" s="14" t="str">
        <x:f aca="0">IF(Matrizes!$C$107&lt;&gt;"OK","Aguardando dados.",IF(MIN(Matrizes!G104:I104)&gt;0,"Pontos normalizados após dividir por W. Compare cada valor com o limite indicado na linha.","Atenção: há W ≤ 0. A divisão por W não basta para decidir a visibilidade; o teste usa os planos de recorte."))</x:f>
        <x:v>Pontos normalizados após dividir por W. Compare cada valor com o limite indicado na linha.</x:v>
      </x:c>
      <x:c r="C13" s="14"/>
      <x:c r="D13" s="14"/>
      <x:c r="E13" s="14"/>
      <x:c r="F13" s="14"/>
      <x:c r="G13" s="14"/>
      <x:c r="H13" s="14"/>
      <x:c r="I13" s="2"/>
    </x:row>
    <x:row r="14" ht="30" hidden="0" customHeight="1">
      <x:c r="A14" s="2"/>
      <x:c r="B14" s="5" t="s">
        <x:v>90</x:v>
      </x:c>
      <x:c r="C14" s="5" t="s">
        <x:v>82</x:v>
      </x:c>
      <x:c r="D14" s="5" t="s">
        <x:v>9</x:v>
      </x:c>
      <x:c r="E14" s="5" t="s">
        <x:v>10</x:v>
      </x:c>
      <x:c r="F14" s="5" t="s">
        <x:v>11</x:v>
      </x:c>
      <x:c r="G14" s="5" t="s">
        <x:v>154</x:v>
      </x:c>
      <x:c r="H14" s="5" t="s">
        <x:v>155</x:v>
      </x:c>
      <x:c r="I14" s="2"/>
    </x:row>
    <x:row r="15" ht="24" hidden="0" customHeight="1">
      <x:c r="A15" s="2"/>
      <x:c r="B15" s="2" t="s">
        <x:v>156</x:v>
      </x:c>
      <x:c r="C15" s="2" t="s">
        <x:v>157</x:v>
      </x:c>
      <x:c r="D15" s="15" t="n">
        <x:f aca="0">IF(Matrizes!$C$107&lt;&gt;"OK","—",Calculadora!G27)</x:f>
        <x:v>-0.07850922580097434</x:v>
      </x:c>
      <x:c r="E15" s="15" t="n">
        <x:f aca="0">IF(Matrizes!$C$107&lt;&gt;"OK","—",Calculadora!H27)</x:f>
        <x:v>0.15582392203086545</x:v>
      </x:c>
      <x:c r="F15" s="15" t="n">
        <x:f aca="0">IF(Matrizes!$C$107&lt;&gt;"OK","—",Calculadora!I27)</x:f>
        <x:v>0.025858919827546973</x:v>
      </x:c>
      <x:c r="G15" s="16" t="n">
        <x:f aca="0">IF(Matrizes!$C$107&lt;&gt;"OK","—",IF(Matrizes!C116&lt;-0.000000001,1,0)+IF(Matrizes!D116&lt;-0.000000001,1,0)+IF(Matrizes!E116&lt;-0.000000001,1,0))</x:f>
        <x:v>0</x:v>
      </x:c>
      <x:c r="H15" s="2" t="str">
        <x:f aca="0">IF(Matrizes!$C$107&lt;&gt;"OK","Aguardando dados",IF(G15=3,"Elimina o triângulo inteiro",IF(G15&gt;0,"Exige recorte","Não corta o triângulo")))</x:f>
        <x:v>Não corta o triângulo</x:v>
      </x:c>
      <x:c r="I15" s="2"/>
    </x:row>
    <x:row r="16" ht="24" hidden="0" customHeight="1">
      <x:c r="A16" s="2"/>
      <x:c r="B16" s="2" t="s">
        <x:v>158</x:v>
      </x:c>
      <x:c r="C16" s="2" t="s">
        <x:v>159</x:v>
      </x:c>
      <x:c r="D16" s="15" t="n">
        <x:f aca="0">IF(Matrizes!$C$107&lt;&gt;"OK","—",Calculadora!G27)</x:f>
        <x:v>-0.07850922580097434</x:v>
      </x:c>
      <x:c r="E16" s="15" t="n">
        <x:f aca="0">IF(Matrizes!$C$107&lt;&gt;"OK","—",Calculadora!H27)</x:f>
        <x:v>0.15582392203086545</x:v>
      </x:c>
      <x:c r="F16" s="15" t="n">
        <x:f aca="0">IF(Matrizes!$C$107&lt;&gt;"OK","—",Calculadora!I27)</x:f>
        <x:v>0.025858919827546973</x:v>
      </x:c>
      <x:c r="G16" s="16" t="n">
        <x:f aca="0">IF(Matrizes!$C$107&lt;&gt;"OK","—",IF(Matrizes!C117&lt;-0.000000001,1,0)+IF(Matrizes!D117&lt;-0.000000001,1,0)+IF(Matrizes!E117&lt;-0.000000001,1,0))</x:f>
        <x:v>0</x:v>
      </x:c>
      <x:c r="H16" s="2" t="str">
        <x:f aca="0">IF(Matrizes!$C$107&lt;&gt;"OK","Aguardando dados",IF(G16=3,"Elimina o triângulo inteiro",IF(G16&gt;0,"Exige recorte","Não corta o triângulo")))</x:f>
        <x:v>Não corta o triângulo</x:v>
      </x:c>
      <x:c r="I16" s="2"/>
    </x:row>
    <x:row r="17" ht="24" hidden="0" customHeight="1">
      <x:c r="A17" s="2"/>
      <x:c r="B17" s="2" t="s">
        <x:v>160</x:v>
      </x:c>
      <x:c r="C17" s="2" t="s">
        <x:v>161</x:v>
      </x:c>
      <x:c r="D17" s="15" t="n">
        <x:f aca="0">IF(Matrizes!$C$107&lt;&gt;"OK","—",Calculadora!G28)</x:f>
        <x:v>-0.3231165811101733</x:v>
      </x:c>
      <x:c r="E17" s="15" t="n">
        <x:f aca="0">IF(Matrizes!$C$107&lt;&gt;"OK","—",Calculadora!H28)</x:f>
        <x:v>0.7449314651710015</x:v>
      </x:c>
      <x:c r="F17" s="15" t="n">
        <x:f aca="0">IF(Matrizes!$C$107&lt;&gt;"OK","—",Calculadora!I28)</x:f>
        <x:v>0.06512294895700496</x:v>
      </x:c>
      <x:c r="G17" s="16" t="n">
        <x:f aca="0">IF(Matrizes!$C$107&lt;&gt;"OK","—",IF(Matrizes!C118&lt;-0.000000001,1,0)+IF(Matrizes!D118&lt;-0.000000001,1,0)+IF(Matrizes!E118&lt;-0.000000001,1,0))</x:f>
        <x:v>0</x:v>
      </x:c>
      <x:c r="H17" s="2" t="str">
        <x:f aca="0">IF(Matrizes!$C$107&lt;&gt;"OK","Aguardando dados",IF(G17=3,"Elimina o triângulo inteiro",IF(G17&gt;0,"Exige recorte","Não corta o triângulo")))</x:f>
        <x:v>Não corta o triângulo</x:v>
      </x:c>
      <x:c r="I17" s="2"/>
    </x:row>
    <x:row r="18" ht="24" hidden="0" customHeight="1">
      <x:c r="A18" s="2"/>
      <x:c r="B18" s="2" t="s">
        <x:v>162</x:v>
      </x:c>
      <x:c r="C18" s="2" t="s">
        <x:v>163</x:v>
      </x:c>
      <x:c r="D18" s="15" t="n">
        <x:f aca="0">IF(Matrizes!$C$107&lt;&gt;"OK","—",Calculadora!G28)</x:f>
        <x:v>-0.3231165811101733</x:v>
      </x:c>
      <x:c r="E18" s="15" t="n">
        <x:f aca="0">IF(Matrizes!$C$107&lt;&gt;"OK","—",Calculadora!H28)</x:f>
        <x:v>0.7449314651710015</x:v>
      </x:c>
      <x:c r="F18" s="15" t="n">
        <x:f aca="0">IF(Matrizes!$C$107&lt;&gt;"OK","—",Calculadora!I28)</x:f>
        <x:v>0.06512294895700496</x:v>
      </x:c>
      <x:c r="G18" s="16" t="n">
        <x:f aca="0">IF(Matrizes!$C$107&lt;&gt;"OK","—",IF(Matrizes!C119&lt;-0.000000001,1,0)+IF(Matrizes!D119&lt;-0.000000001,1,0)+IF(Matrizes!E119&lt;-0.000000001,1,0))</x:f>
        <x:v>0</x:v>
      </x:c>
      <x:c r="H18" s="2" t="str">
        <x:f aca="0">IF(Matrizes!$C$107&lt;&gt;"OK","Aguardando dados",IF(G18=3,"Elimina o triângulo inteiro",IF(G18&gt;0,"Exige recorte","Não corta o triângulo")))</x:f>
        <x:v>Não corta o triângulo</x:v>
      </x:c>
      <x:c r="I18" s="2"/>
    </x:row>
    <x:row r="19" ht="24" hidden="0" customHeight="1">
      <x:c r="A19" s="2"/>
      <x:c r="B19" s="2" t="s">
        <x:v>43</x:v>
      </x:c>
      <x:c r="C19" s="2" t="s">
        <x:v>164</x:v>
      </x:c>
      <x:c r="D19" s="15" t="n">
        <x:f aca="0">IF(Matrizes!$C$107&lt;&gt;"OK","—",Calculadora!G29)</x:f>
        <x:v>1.0297560839065991</x:v>
      </x:c>
      <x:c r="E19" s="15" t="n">
        <x:f aca="0">IF(Matrizes!$C$107&lt;&gt;"OK","—",Calculadora!H29)</x:f>
        <x:v>0.9327244072357392</x:v>
      </x:c>
      <x:c r="F19" s="15" t="n">
        <x:f aca="0">IF(Matrizes!$C$107&lt;&gt;"OK","—",Calculadora!I29)</x:f>
        <x:v>1.0232968722368603</x:v>
      </x:c>
      <x:c r="G19" s="16" t="n">
        <x:f aca="0">IF(Matrizes!$C$107&lt;&gt;"OK","—",IF(Matrizes!C120&lt;-0.000000001,1,0)+IF(Matrizes!D120&lt;-0.000000001,1,0)+IF(Matrizes!E120&lt;-0.000000001,1,0))</x:f>
        <x:v>0</x:v>
      </x:c>
      <x:c r="H19" s="2" t="str">
        <x:f aca="0">IF(Matrizes!$C$107&lt;&gt;"OK","Aguardando dados",IF(G19=3,"Elimina o triângulo inteiro",IF(G19&gt;0,"Exige recorte","Não corta o triângulo")))</x:f>
        <x:v>Não corta o triângulo</x:v>
      </x:c>
      <x:c r="I19" s="2"/>
    </x:row>
    <x:row r="20" ht="24" hidden="0" customHeight="1">
      <x:c r="A20" s="2"/>
      <x:c r="B20" s="2" t="s">
        <x:v>44</x:v>
      </x:c>
      <x:c r="C20" s="2" t="s">
        <x:v>165</x:v>
      </x:c>
      <x:c r="D20" s="15" t="n">
        <x:f aca="0">IF(Matrizes!$C$107&lt;&gt;"OK","—",Calculadora!G29)</x:f>
        <x:v>1.0297560839065991</x:v>
      </x:c>
      <x:c r="E20" s="15" t="n">
        <x:f aca="0">IF(Matrizes!$C$107&lt;&gt;"OK","—",Calculadora!H29)</x:f>
        <x:v>0.9327244072357392</x:v>
      </x:c>
      <x:c r="F20" s="15" t="n">
        <x:f aca="0">IF(Matrizes!$C$107&lt;&gt;"OK","—",Calculadora!I29)</x:f>
        <x:v>1.0232968722368603</x:v>
      </x:c>
      <x:c r="G20" s="16" t="n">
        <x:f aca="0">IF(Matrizes!$C$107&lt;&gt;"OK","—",IF(Matrizes!C121&lt;-0.000000001,1,0)+IF(Matrizes!D121&lt;-0.000000001,1,0)+IF(Matrizes!E121&lt;-0.000000001,1,0))</x:f>
        <x:v>2</x:v>
      </x:c>
      <x:c r="H20" s="2" t="str">
        <x:f aca="0">IF(Matrizes!$C$107&lt;&gt;"OK","Aguardando dados",IF(G20=3,"Elimina o triângulo inteiro",IF(G20&gt;0,"Exige recorte","Não corta o triângulo")))</x:f>
        <x:v>Exige recorte</x:v>
      </x:c>
      <x:c r="I20" s="2"/>
    </x:row>
    <x:row r="21" ht="24" hidden="0" customHeight="1">
      <x:c r="A21" s="2"/>
      <x:c r="B21" s="2" t="s">
        <x:v>166</x:v>
      </x:c>
      <x:c r="C21" s="2" t="s">
        <x:v>167</x:v>
      </x:c>
      <x:c r="D21" s="17" t="n">
        <x:f aca="0">IF(Matrizes!$C$107&lt;&gt;"OK","—",Calculadora!G30)</x:f>
        <x:v>1</x:v>
      </x:c>
      <x:c r="E21" s="17" t="n">
        <x:f aca="0">IF(Matrizes!$C$107&lt;&gt;"OK","—",Calculadora!H30)</x:f>
        <x:v>1</x:v>
      </x:c>
      <x:c r="F21" s="17" t="n">
        <x:f aca="0">IF(Matrizes!$C$107&lt;&gt;"OK","—",Calculadora!I30)</x:f>
        <x:v>1</x:v>
      </x:c>
      <x:c r="G21" s="2" t="s">
        <x:v>168</x:v>
      </x:c>
      <x:c r="H21" s="2" t="s">
        <x:v>169</x:v>
      </x:c>
      <x:c r="I21" s="2"/>
    </x:row>
    <x:row r="22" ht="24" hidden="0" customHeight="1">
      <x:c r="A22" s="2"/>
      <x:c r="B22" s="4" t="s">
        <x:v>170</x:v>
      </x:c>
      <x:c r="C22" s="4"/>
      <x:c r="D22" s="4"/>
      <x:c r="E22" s="4"/>
      <x:c r="F22" s="4"/>
      <x:c r="G22" s="4"/>
      <x:c r="H22" s="4"/>
      <x:c r="I22" s="2"/>
    </x:row>
    <x:row r="23" ht="24" hidden="0" customHeight="1">
      <x:c r="A23" s="2"/>
      <x:c r="B23" s="4"/>
      <x:c r="C23" s="4"/>
      <x:c r="D23" s="4"/>
      <x:c r="E23" s="4"/>
      <x:c r="F23" s="4"/>
      <x:c r="G23" s="4"/>
      <x:c r="H23" s="4"/>
      <x:c r="I23" s="2"/>
    </x:row>
    <x:row r="24" ht="24" hidden="0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hidden="0" customHeight="1">
      <x:c r="A25" s="2"/>
      <x:c r="B25" s="5" t="s">
        <x:v>171</x:v>
      </x:c>
      <x:c r="C25" s="5"/>
      <x:c r="D25" s="5"/>
      <x:c r="E25" s="5"/>
      <x:c r="F25" s="5"/>
      <x:c r="G25" s="5"/>
      <x:c r="H25" s="5"/>
      <x:c r="I25" s="2"/>
    </x:row>
    <x:row r="26" ht="24" hidden="0" customHeight="1">
      <x:c r="A26" s="2"/>
      <x:c r="B26" s="18" t="str">
        <x:f aca="0">IF(Matrizes!$C$107&lt;&gt;"OK","Aguardando dados.",IF(MIN(Matrizes!G104:I104)&lt;=0,"X: há vértices com W ≤ 0. Os valores após dividir por W não podem ser comparados isoladamente com −1 e 1 para decidir a visibilidade. Use o resultado do recorte acima.","X normalizado: "&amp;"A = "&amp;ROUND(D15,6)&amp;IF(Matrizes!C116&lt;-0.000000001," (à esquerda, fora)",IF(Matrizes!C117&lt;-0.000000001," (à direita, fora)",IF(OR(ABS(Matrizes!C116)&lt;=0.000000001,ABS(Matrizes!C117)&lt;=0.000000001)," (na borda, permitido)"," (dentro)")))&amp;"; "&amp;"B = "&amp;ROUND(E15,6)&amp;IF(Matrizes!D116&lt;-0.000000001," (à esquerda, fora)",IF(Matrizes!D117&lt;-0.000000001," (à direita, fora)",IF(OR(ABS(Matrizes!D116)&lt;=0.000000001,ABS(Matrizes!D117)&lt;=0.000000001)," (na borda, permitido)"," (dentro)")))&amp;"; "&amp;"C = "&amp;ROUND(F15,6)&amp;IF(Matrizes!E116&lt;-0.000000001," (à esquerda, fora)",IF(Matrizes!E117&lt;-0.000000001," (à direita, fora)",IF(OR(ABS(Matrizes!E116)&lt;=0.000000001,ABS(Matrizes!E117)&lt;=0.000000001)," (na borda, permitido)"," (dentro)")))&amp;". O intervalo permitido é de −1 a 1, incluindo os extremos."))</x:f>
        <x:v>X normalizado: A = -0.078509 (dentro); B = 0.155824 (dentro); C = 0.025859 (dentro). O intervalo permitido é de −1 a 1, incluindo os extremos.</x:v>
      </x:c>
      <x:c r="C26" s="18"/>
      <x:c r="D26" s="18"/>
      <x:c r="E26" s="18"/>
      <x:c r="F26" s="18"/>
      <x:c r="G26" s="18"/>
      <x:c r="H26" s="18"/>
      <x:c r="I26" s="2"/>
    </x:row>
    <x:row r="27" ht="24" hidden="0" customHeight="1">
      <x:c r="A27" s="2"/>
      <x:c r="B27" s="18"/>
      <x:c r="C27" s="18"/>
      <x:c r="D27" s="18"/>
      <x:c r="E27" s="18"/>
      <x:c r="F27" s="18"/>
      <x:c r="G27" s="18"/>
      <x:c r="H27" s="18"/>
      <x:c r="I27" s="2"/>
    </x:row>
    <x:row r="28" ht="24" hidden="0" customHeight="1">
      <x:c r="A28" s="2"/>
      <x:c r="B28" s="18"/>
      <x:c r="C28" s="18"/>
      <x:c r="D28" s="18"/>
      <x:c r="E28" s="18"/>
      <x:c r="F28" s="18"/>
      <x:c r="G28" s="18"/>
      <x:c r="H28" s="18"/>
      <x:c r="I28" s="2"/>
    </x:row>
    <x:row r="29" ht="24" hidden="0" customHeight="1">
      <x:c r="A29" s="2"/>
      <x:c r="B29" s="19" t="str">
        <x:f aca="0">IF(Matrizes!$C$107&lt;&gt;"OK","Aguardando dados.",IF(MIN(Matrizes!G104:I104)&lt;=0,"Y: há vértices com W ≤ 0. Os valores após dividir por W não podem ser comparados isoladamente com −1 e 1 para decidir a visibilidade. Use o resultado do recorte acima.","Y normalizado: "&amp;"A = "&amp;ROUND(D17,6)&amp;IF(Matrizes!C118&lt;-0.000000001," (abaixo, fora)",IF(Matrizes!C119&lt;-0.000000001," (acima, fora)",IF(OR(ABS(Matrizes!C118)&lt;=0.000000001,ABS(Matrizes!C119)&lt;=0.000000001)," (na borda, permitido)"," (dentro)")))&amp;"; "&amp;"B = "&amp;ROUND(E17,6)&amp;IF(Matrizes!D118&lt;-0.000000001," (abaixo, fora)",IF(Matrizes!D119&lt;-0.000000001," (acima, fora)",IF(OR(ABS(Matrizes!D118)&lt;=0.000000001,ABS(Matrizes!D119)&lt;=0.000000001)," (na borda, permitido)"," (dentro)")))&amp;"; "&amp;"C = "&amp;ROUND(F17,6)&amp;IF(Matrizes!E118&lt;-0.000000001," (abaixo, fora)",IF(Matrizes!E119&lt;-0.000000001," (acima, fora)",IF(OR(ABS(Matrizes!E118)&lt;=0.000000001,ABS(Matrizes!E119)&lt;=0.000000001)," (na borda, permitido)"," (dentro)")))&amp;". O intervalo permitido é de −1 a 1, incluindo os extremos."))</x:f>
        <x:v>Y normalizado: A = -0.323117 (dentro); B = 0.744931 (dentro); C = 0.065123 (dentro). O intervalo permitido é de −1 a 1, incluindo os extremos.</x:v>
      </x:c>
      <x:c r="C29" s="19"/>
      <x:c r="D29" s="19"/>
      <x:c r="E29" s="19"/>
      <x:c r="F29" s="19"/>
      <x:c r="G29" s="19"/>
      <x:c r="H29" s="19"/>
      <x:c r="I29" s="2"/>
    </x:row>
    <x:row r="30" ht="24" hidden="0" customHeight="1">
      <x:c r="A30" s="2"/>
      <x:c r="B30" s="19"/>
      <x:c r="C30" s="19"/>
      <x:c r="D30" s="19"/>
      <x:c r="E30" s="19"/>
      <x:c r="F30" s="19"/>
      <x:c r="G30" s="19"/>
      <x:c r="H30" s="19"/>
      <x:c r="I30" s="2"/>
    </x:row>
    <x:row r="31" ht="24" hidden="0" customHeight="1">
      <x:c r="A31" s="2"/>
      <x:c r="B31" s="19"/>
      <x:c r="C31" s="19"/>
      <x:c r="D31" s="19"/>
      <x:c r="E31" s="19"/>
      <x:c r="F31" s="19"/>
      <x:c r="G31" s="19"/>
      <x:c r="H31" s="19"/>
      <x:c r="I31" s="2"/>
    </x:row>
    <x:row r="32" ht="24" hidden="0" customHeight="1">
      <x:c r="A32" s="2"/>
      <x:c r="B32" s="18" t="str">
        <x:f aca="0">IF(Matrizes!$C$107&lt;&gt;"OK","Aguardando dados.",IF(MIN(Matrizes!G104:I104)&lt;=0,"Z: há vértices com W ≤ 0. Os valores após dividir por W não podem ser comparados isoladamente com −1 e 1 para decidir a visibilidade. Use o resultado do recorte acima.","Z normalizado: "&amp;"A = "&amp;ROUND(D19,6)&amp;IF(Matrizes!C120&lt;-0.000000001," (antes do Near, fora)",IF(Matrizes!C121&lt;-0.000000001," (além do Far, fora)",IF(OR(ABS(Matrizes!C120)&lt;=0.000000001,ABS(Matrizes!C121)&lt;=0.000000001)," (na borda, permitido)"," (dentro)")))&amp;"; "&amp;"B = "&amp;ROUND(E19,6)&amp;IF(Matrizes!D120&lt;-0.000000001," (antes do Near, fora)",IF(Matrizes!D121&lt;-0.000000001," (além do Far, fora)",IF(OR(ABS(Matrizes!D120)&lt;=0.000000001,ABS(Matrizes!D121)&lt;=0.000000001)," (na borda, permitido)"," (dentro)")))&amp;"; "&amp;"C = "&amp;ROUND(F19,6)&amp;IF(Matrizes!E120&lt;-0.000000001," (antes do Near, fora)",IF(Matrizes!E121&lt;-0.000000001," (além do Far, fora)",IF(OR(ABS(Matrizes!E120)&lt;=0.000000001,ABS(Matrizes!E121)&lt;=0.000000001)," (na borda, permitido)"," (dentro)")))&amp;". O intervalo permitido é de −1 a 1, incluindo os extremos."))</x:f>
        <x:v>Z normalizado: A = 1.029756 (além do Far, fora); B = 0.932724 (dentro); C = 1.023297 (além do Far, fora). O intervalo permitido é de −1 a 1, incluindo os extremos.</x:v>
      </x:c>
      <x:c r="C32" s="18"/>
      <x:c r="D32" s="18"/>
      <x:c r="E32" s="18"/>
      <x:c r="F32" s="18"/>
      <x:c r="G32" s="18"/>
      <x:c r="H32" s="18"/>
      <x:c r="I32" s="2"/>
    </x:row>
    <x:row r="33" ht="24" hidden="0" customHeight="1">
      <x:c r="A33" s="2"/>
      <x:c r="B33" s="18"/>
      <x:c r="C33" s="18"/>
      <x:c r="D33" s="18"/>
      <x:c r="E33" s="18"/>
      <x:c r="F33" s="18"/>
      <x:c r="G33" s="18"/>
      <x:c r="H33" s="18"/>
      <x:c r="I33" s="2"/>
    </x:row>
    <x:row r="34" ht="24" hidden="0" customHeight="1">
      <x:c r="A34" s="2"/>
      <x:c r="B34" s="18"/>
      <x:c r="C34" s="18"/>
      <x:c r="D34" s="18"/>
      <x:c r="E34" s="18"/>
      <x:c r="F34" s="18"/>
      <x:c r="G34" s="18"/>
      <x:c r="H34" s="18"/>
      <x:c r="I34" s="2"/>
    </x:row>
    <x:row r="35" ht="24" hidden="0" customHeight="1">
      <x:c r="A35" s="2"/>
      <x:c r="B35" s="20" t="str">
        <x:f aca="0">IF(Matrizes!$C$107&lt;&gt;"OK","Aguardando dados.","W normalizado: "&amp;"A = "&amp;IF(ISNUMBER(D21),D21,"não definido")&amp;"; "&amp;"B = "&amp;IF(ISNUMBER(E21),E21,"não definido")&amp;"; "&amp;"C = "&amp;IF(ISNUMBER(F21),F21,"não definido")&amp;". Quando a divisão é possível, W/W = 1. Esse 1 é a coordenada homogênea da resposta; não é um limite de visibilidade. É necessário conferir X, Y e Z e o W antes da divisão. Se o W original for zero, não é possível normalizar aquele vértice.")</x:f>
        <x:v>W normalizado: A = 1; B = 1; C = 1. Quando a divisão é possível, W/W = 1. Esse 1 é a coordenada homogênea da resposta; não é um limite de visibilidade. É necessário conferir X, Y e Z e o W antes da divisão. Se o W original for zero, não é possível normalizar aquele vértice.</x:v>
      </x:c>
      <x:c r="C35" s="20"/>
      <x:c r="D35" s="20"/>
      <x:c r="E35" s="20"/>
      <x:c r="F35" s="20"/>
      <x:c r="G35" s="20"/>
      <x:c r="H35" s="20"/>
      <x:c r="I35" s="2"/>
    </x:row>
    <x:row r="36" ht="24" hidden="0" customHeight="1">
      <x:c r="A36" s="2"/>
      <x:c r="B36" s="20"/>
      <x:c r="C36" s="20"/>
      <x:c r="D36" s="20"/>
      <x:c r="E36" s="20"/>
      <x:c r="F36" s="20"/>
      <x:c r="G36" s="20"/>
      <x:c r="H36" s="20"/>
      <x:c r="I36" s="2"/>
    </x:row>
    <x:row r="37" ht="24" hidden="0" customHeight="1">
      <x:c r="A37" s="2"/>
      <x:c r="B37" s="20"/>
      <x:c r="C37" s="20"/>
      <x:c r="D37" s="20"/>
      <x:c r="E37" s="20"/>
      <x:c r="F37" s="20"/>
      <x:c r="G37" s="20"/>
      <x:c r="H37" s="20"/>
      <x:c r="I37" s="2"/>
    </x:row>
    <x:row r="38" ht="12.800000190734863" hidden="0">
      <x:c r="B38" s="20"/>
      <x:c r="C38" s="20"/>
      <x:c r="D38" s="20"/>
      <x:c r="E38" s="20"/>
      <x:c r="F38" s="20"/>
      <x:c r="G38" s="20"/>
      <x:c r="H38" s="20"/>
    </x:row>
    <x:row r="40" ht="12.800000190734863" hidden="0" customHeight="1">
      <x:c r="B40" s="21" t="s">
        <x:v>172</x:v>
      </x:c>
      <x:c r="C40" s="21"/>
      <x:c r="D40" s="21"/>
      <x:c r="E40" s="21"/>
      <x:c r="F40" s="21"/>
      <x:c r="G40" s="21"/>
      <x:c r="H40" s="21"/>
    </x:row>
    <x:row r="41" ht="12.800000190734863" hidden="0">
      <x:c r="B41" s="21"/>
      <x:c r="C41" s="21"/>
      <x:c r="D41" s="21"/>
      <x:c r="E41" s="21"/>
      <x:c r="F41" s="21"/>
      <x:c r="G41" s="21"/>
      <x:c r="H41" s="21"/>
    </x:row>
    <x:row r="42" ht="12.800000190734863" hidden="0">
      <x:c r="B42" s="21"/>
      <x:c r="C42" s="21"/>
      <x:c r="D42" s="21"/>
      <x:c r="E42" s="21"/>
      <x:c r="F42" s="21"/>
      <x:c r="G42" s="21"/>
      <x:c r="H42" s="21"/>
    </x:row>
  </x:sheetData>
  <x:mergeCells>
    <x:mergeCell ref="B6:H6"/>
    <x:mergeCell ref="B8:H11"/>
    <x:mergeCell ref="B13:H13"/>
    <x:mergeCell ref="B22:H23"/>
    <x:mergeCell ref="B25:H25"/>
    <x:mergeCell ref="B26:H28"/>
    <x:mergeCell ref="B29:H31"/>
    <x:mergeCell ref="B32:H34"/>
    <x:mergeCell ref="B35:H38"/>
    <x:mergeCell ref="B40:H42"/>
  </x:mergeCells>
  <x:conditionalFormatting sqref="D15:F15">
    <x:cfRule type="expression" dxfId="3" priority="2" aboveAverage="0" percent="0" bottom="0" rank="0" equalAverage="0">
      <x:formula>IF(ISNUMBER(D15),(D15+1)*D$26&lt;-0.000000001,0)</x:formula>
    </x:cfRule>
    <x:cfRule type="expression" dxfId="4" priority="3" aboveAverage="0" percent="0" bottom="0" rank="0" equalAverage="0">
      <x:formula>AND(ISNUMBER(D15),D15&lt;-1-0.000000001)</x:formula>
    </x:cfRule>
  </x:conditionalFormatting>
  <x:conditionalFormatting sqref="D16:F16">
    <x:cfRule type="expression" dxfId="5" priority="4" aboveAverage="0" percent="0" bottom="0" rank="0" equalAverage="0">
      <x:formula>IF(ISNUMBER(D16),(1-D16)*D$26&lt;-0.000000001,0)</x:formula>
    </x:cfRule>
    <x:cfRule type="expression" dxfId="6" priority="5" aboveAverage="0" percent="0" bottom="0" rank="0" equalAverage="0">
      <x:formula>AND(ISNUMBER(D16),D16&gt;1+0.000000001)</x:formula>
    </x:cfRule>
  </x:conditionalFormatting>
  <x:conditionalFormatting sqref="D17:F17">
    <x:cfRule type="expression" dxfId="7" priority="6" aboveAverage="0" percent="0" bottom="0" rank="0" equalAverage="0">
      <x:formula>IF(ISNUMBER(D17),(D17+1)*D$26&lt;-0.000000001,0)</x:formula>
    </x:cfRule>
    <x:cfRule type="expression" dxfId="8" priority="7" aboveAverage="0" percent="0" bottom="0" rank="0" equalAverage="0">
      <x:formula>AND(ISNUMBER(D17),D17&lt;-1-0.000000001)</x:formula>
    </x:cfRule>
  </x:conditionalFormatting>
  <x:conditionalFormatting sqref="D18:F18">
    <x:cfRule type="expression" dxfId="9" priority="8" aboveAverage="0" percent="0" bottom="0" rank="0" equalAverage="0">
      <x:formula>IF(ISNUMBER(D18),(1-D18)*D$26&lt;-0.000000001,0)</x:formula>
    </x:cfRule>
    <x:cfRule type="expression" dxfId="10" priority="9" aboveAverage="0" percent="0" bottom="0" rank="0" equalAverage="0">
      <x:formula>AND(ISNUMBER(D18),D18&gt;1+0.000000001)</x:formula>
    </x:cfRule>
  </x:conditionalFormatting>
  <x:conditionalFormatting sqref="D19:F19">
    <x:cfRule type="expression" dxfId="11" priority="10" aboveAverage="0" percent="0" bottom="0" rank="0" equalAverage="0">
      <x:formula>IF(ISNUMBER(D19),(D19+1)*D$26&lt;-0.000000001,0)</x:formula>
    </x:cfRule>
    <x:cfRule type="expression" dxfId="12" priority="11" aboveAverage="0" percent="0" bottom="0" rank="0" equalAverage="0">
      <x:formula>AND(ISNUMBER(D19),D19&lt;-1-0.000000001)</x:formula>
    </x:cfRule>
  </x:conditionalFormatting>
  <x:conditionalFormatting sqref="D20:F20">
    <x:cfRule type="expression" dxfId="13" priority="12" aboveAverage="0" percent="0" bottom="0" rank="0" equalAverage="0">
      <x:formula>IF(ISNUMBER(D20),(1-D20)*D$26&lt;-0.000000001,0)</x:formula>
    </x:cfRule>
    <x:cfRule type="expression" dxfId="14" priority="13" aboveAverage="0" percent="0" bottom="0" rank="0" equalAverage="0">
      <x:formula>AND(ISNUMBER(D20),D20&gt;1+0.000000001)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94C7A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2" hidden="0" customWidth="1"/>
    <x:col min="2" max="2" width="112" hidden="0" customWidth="1"/>
    <x:col min="3" max="3" width="48" hidden="0" customWidth="1"/>
  </x:cols>
  <x:sheetData>
    <x:row r="1" ht="36" customHeight="1">
      <x:c r="A1" s="50" t="str">
        <x:v>Colas de Computação Gráfica · P1</x:v>
      </x:c>
      <x:c r="B1" s="50"/>
      <x:c r="C1"/>
    </x:row>
    <x:row r="2" ht="24" customHeight="1">
      <x:c r="A2" s="52" t="str">
        <x:v>Resumo de revisão baseado nas provas anteriores e nos materiais da disciplina.</x:v>
      </x:c>
      <x:c r="B2" s="52"/>
      <x:c r="C2"/>
    </x:row>
    <x:row r="3">
      <x:c r="A3"/>
      <x:c r="B3"/>
      <x:c r="C3"/>
    </x:row>
    <x:row r="4" ht="26" customHeight="1">
      <x:c r="A4" s="55" t="str">
        <x:v>PRIORIDADE DE REVISÃO</x:v>
      </x:c>
      <x:c r="B4" s="55" t="str">
        <x:v>Recorrência observada nas provas anteriores</x:v>
      </x:c>
      <x:c r="C4"/>
    </x:row>
    <x:row r="5" ht="26" customHeight="1">
      <x:c r="A5" s="59" t="str">
        <x:v>Frequência</x:v>
      </x:c>
      <x:c r="B5" s="59" t="str">
        <x:v>Assuntos para dominar</x:v>
      </x:c>
      <x:c r="C5"/>
    </x:row>
    <x:row r="6" ht="15" hidden="0" customHeight="1">
      <x:c r="A6" s="70" t="str">
        <x:v>3/3 · essencial</x:v>
      </x:c>
      <x:c r="B6" s="71" t="str">
        <x:v>MVP e transformações: matrizes, ordem de aplicação, coordenadas homogêneas, recorte, divisão por W, NDC e classificação do triângulo.</x:v>
      </x:c>
      <x:c r="C6"/>
    </x:row>
    <x:row r="7" ht="15" hidden="0" customHeight="1">
      <x:c r="A7" s="72" t="str">
        <x:v>3/3 · essencial</x:v>
      </x:c>
      <x:c r="B7" s="73" t="str">
        <x:v>Texturas e UV: parametrização, coordenadas de textura e repetição do padrão na superfície.</x:v>
      </x:c>
      <x:c r="C7"/>
    </x:row>
    <x:row r="8" ht="15" hidden="0" customHeight="1">
      <x:c r="A8" s="72" t="str">
        <x:v>3/3 · essencial</x:v>
      </x:c>
      <x:c r="B8" s="73" t="str">
        <x:v>Filtragem e mipmapping: aliasing, magnificação/minificação e escolha da representação adequada da textura.</x:v>
      </x:c>
      <x:c r="C8"/>
    </x:row>
    <x:row r="9" ht="15" hidden="0" customHeight="1">
      <x:c r="A9" s="74" t="str">
        <x:v>2/3 · alta</x:v>
      </x:c>
      <x:c r="B9" s="75" t="str">
        <x:v>Iluminação e sombreamento: modelo local, Gouraud/Phong e diferenças entre interpolar vértices e calcular por fragmento.</x:v>
      </x:c>
      <x:c r="C9"/>
    </x:row>
    <x:row r="10" ht="15" hidden="0" customHeight="1">
      <x:c r="A10" s="76" t="str">
        <x:v>1/3 · complementar</x:v>
      </x:c>
      <x:c r="B10" s="77" t="str">
        <x:v>Interpolação em perspectiva, Lambert e normais, bump mapping e interpolação de cor; revise com atenção ao escopo da prova.</x:v>
      </x:c>
      <x:c r="C10"/>
    </x:row>
    <x:row r="11" ht="24" hidden="0" customHeight="1">
      <x:c r="A11" s="82" t="str">
        <x:v>Estratégia</x:v>
      </x:c>
      <x:c r="B11" s="81" t="str">
        <x:v>Comece pelos temas 3/3: MVP, UV e filtragem/mipmapping. Depois estude Gouraud/Phong e os temas recentes de 2025. Consulte Escopo e prioridade para separar Dentro, Apoio e Fora.</x:v>
      </x:c>
      <x:c r="C11"/>
    </x:row>
    <x:row r="12" ht="15" hidden="0" customHeight="1">
      <x:c r="A12"/>
      <x:c r="B12"/>
      <x:c r="C12"/>
    </x:row>
    <x:row r="13" ht="15" hidden="0" customHeight="1">
      <x:c r="A13" s="59" t="str">
        <x:v>Formato</x:v>
      </x:c>
      <x:c r="B13" s="59" t="str">
        <x:v>Conteúdo da cola</x:v>
      </x:c>
      <x:c r="C13"/>
    </x:row>
    <x:row r="14" ht="15" hidden="0" customHeight="1">
      <x:c r="A14" s="97" t="str">
        <x:v>Seção</x:v>
      </x:c>
      <x:c r="B14" s="97" t="str">
        <x:v>Escopo da prova, frequência nas provas e prioridade</x:v>
      </x:c>
      <x:c r="C14"/>
    </x:row>
    <x:row r="15" ht="15" hidden="0" customHeight="1">
      <x:c r="A15" s="101" t="str">
        <x:v>Seção</x:v>
      </x:c>
      <x:c r="B15" s="101" t="str">
        <x:v>1. Escopo (informado pelo professor) + nível de apoio</x:v>
      </x:c>
      <x:c r="C15"/>
    </x:row>
    <x:row r="16" ht="15" hidden="0" customHeight="1">
      <x:c r="A16" s="91" t="str">
        <x:v>Nota</x:v>
      </x:c>
      <x:c r="B16" s="88" t="str">
        <x:v>O livro é a referência. Três níveis:</x:v>
      </x:c>
      <x:c r="C16"/>
    </x:row>
    <x:row r="17" ht="15" hidden="0" customHeight="1">
      <x:c r="A17" s="91" t="str">
        <x:v>Tópico</x:v>
      </x:c>
      <x:c r="B17" s="88" t="str">
        <x:v>• Dentro — pode ser o assunto de uma questão (lista do professor).</x:v>
      </x:c>
      <x:c r="C17"/>
    </x:row>
    <x:row r="18" ht="15" hidden="0" customHeight="1">
      <x:c r="A18" s="91" t="str">
        <x:v>Tópico</x:v>
      </x:c>
      <x:c r="B18" s="88" t="str">
        <x:v>• 🔗 Apoio — fora da lista, mas é a base conceitual de algo dentro; ler só o conceito (1 parágrafo), sem exercícios nem cards próprios.</x:v>
      </x:c>
      <x:c r="C18"/>
    </x:row>
    <x:row r="19" ht="15" hidden="0" customHeight="1">
      <x:c r="A19" s="91" t="str">
        <x:v>Tópico</x:v>
      </x:c>
      <x:c r="B19" s="88" t="str">
        <x:v>• 🚫 Fora — não é base de nada do escopo; ignorar.</x:v>
      </x:c>
      <x:c r="C19"/>
    </x:row>
    <x:row r="20" ht="15" hidden="0" customHeight="1">
      <x:c r="A20" s="91" t="str">
        <x:v>Tabela</x:v>
      </x:c>
      <x:c r="B20" s="88" t="str">
        <x:v>Capítulo | Dentro | 🔗 Apoio (por quê) | 🚫 Fora</x:v>
      </x:c>
      <x:c r="C20"/>
    </x:row>
    <x:row r="21" ht="15" hidden="0" customHeight="1">
      <x:c r="A21" s="91" t="str">
        <x:v>Tabela</x:v>
      </x:c>
      <x:c r="B21" s="88" t="str">
        <x:v>2 | 2.2 a 2.6 (arquitetura raster, aplicações 3D, cenas, síntese de imagem, pipeline) | — | 2.1 dispositivos; 2.7 cor</x:v>
      </x:c>
      <x:c r="C21"/>
    </x:row>
    <x:row r="22" ht="15" hidden="0" customHeight="1">
      <x:c r="A22" s="91" t="str">
        <x:v>Tabela</x:v>
      </x:c>
      <x:c r="B22" s="88" t="str">
        <x:v>3 | 3.1 a 3.5 | — | 3.6 modelação hierárquica / grafo de cena</x:v>
      </x:c>
      <x:c r="C22"/>
    </x:row>
    <x:row r="23" ht="15" hidden="0" customHeight="1">
      <x:c r="A23" s="91" t="str">
        <x:v>Tabela</x:v>
      </x:c>
      <x:c r="B23" s="88" t="str">
        <x:v>5 | Capítulo inteiro | — | —</x:v>
      </x:c>
      <x:c r="C23"/>
    </x:row>
    <x:row r="24" ht="25.200000762939453" hidden="0" customHeight="1">
      <x:c r="A24" s="91" t="str">
        <x:v>Tabela</x:v>
      </x:c>
      <x:c r="B24" s="88" t="str">
        <x:v>7 | 7.1, 7.2.1–7.2.3 (ambiente, difusa, especular), 7.3 (sombreamento) | 7.2.4 expressão global: é a soma dos 3 termos que Gouraud/Phong calculam por vértice/fragmento | 7.2.5–7.2.8 (aprox. de Blinn, atenuação, luz cromática, várias fontes)</x:v>
      </x:c>
      <x:c r="C24"/>
    </x:row>
    <x:row r="25" ht="37.79999923706055" hidden="0" customHeight="1">
      <x:c r="A25" s="91" t="str">
        <x:v>Tabela</x:v>
      </x:c>
      <x:c r="B25" s="88" t="str">
        <x:v>8 | 8.3 (constante, Gouraud, Phong, texturização 8.3.4) | 8.2 (só a ideia): fragmento e interpolação linear de atributos pelo rasterizador — base de 8.3 inteiro. 8.5 (só o conceito): aliasing é o porquê da filtragem/mipmapping 8.3.4.2 | Algoritmos de 8.2 (Bresenham, scanline, tabelas de lados); 8.4 Z-buffer/blending</x:v>
      </x:c>
      <x:c r="C25"/>
    </x:row>
    <x:row r="26" ht="15" hidden="0" customHeight="1">
      <x:c r="A26" s="91" t="str">
        <x:v>Tabela</x:v>
      </x:c>
      <x:c r="B26" s="88" t="str">
        <x:v>4, 6 | — | — | ausentes do PDF</x:v>
      </x:c>
      <x:c r="C26"/>
    </x:row>
    <x:row r="27" ht="15" hidden="0" customHeight="1">
      <x:c r="A27" s="101" t="str">
        <x:v>Seção</x:v>
      </x:c>
      <x:c r="B27" s="101" t="str">
        <x:v>2. Regra de classificação e prioridade</x:v>
      </x:c>
      <x:c r="C27"/>
    </x:row>
    <x:row r="28" ht="15" hidden="0" customHeight="1">
      <x:c r="A28" s="91" t="str">
        <x:v>Nota</x:v>
      </x:c>
      <x:c r="B28" s="88" t="str">
        <x:v>Aplicada card a card (e a cada resumo/seção). Classifique cada card conforme a regra de escopo da prova.</x:v>
      </x:c>
      <x:c r="C28"/>
    </x:row>
    <x:row r="29" ht="15" hidden="0" customHeight="1">
      <x:c r="A29" s="91" t="str">
        <x:v>Nota</x:v>
      </x:c>
      <x:c r="B29" s="88" t="str">
        <x:v>Passo 1 — Escopo (pela seção do livro em que o conteúdo está):</x:v>
      </x:c>
      <x:c r="C29"/>
    </x:row>
    <x:row r="30" ht="15" hidden="0" customHeight="1">
      <x:c r="A30" s="91" t="str">
        <x:v>Passo</x:v>
      </x:c>
      <x:c r="B30" s="88" t="str">
        <x:v>1. A seção está na lista do professor? ⇒ Dentro.</x:v>
      </x:c>
      <x:c r="C30"/>
    </x:row>
    <x:row r="31" ht="15" hidden="0" customHeight="1">
      <x:c r="A31" s="91" t="str">
        <x:v>Passo</x:v>
      </x:c>
      <x:c r="B31" s="88" t="str">
        <x:v>2. Senão: algum item Dentro precisa dela para ser explicado/respondido? ⇒ 🔗 Apoio (só o conceito).</x:v>
      </x:c>
      <x:c r="C31"/>
    </x:row>
    <x:row r="32" ht="15" hidden="0" customHeight="1">
      <x:c r="A32" s="91" t="str">
        <x:v>Passo</x:v>
      </x:c>
      <x:c r="B32" s="88" t="str">
        <x:v>3. Senão ⇒ 🚫 Fora.</x:v>
      </x:c>
      <x:c r="C32"/>
    </x:row>
    <x:row r="33" ht="15" hidden="0" customHeight="1">
      <x:c r="A33" s="91" t="str">
        <x:v>Nota</x:v>
      </x:c>
      <x:c r="B33" s="88" t="str">
        <x:v>Passo 2 — Recorrência (só para Dentro). Conta-se em quantas das provas o tema apareceu:</x:v>
      </x:c>
      <x:c r="C33"/>
    </x:row>
    <x:row r="34" ht="15" hidden="0" customHeight="1">
      <x:c r="A34" s="91" t="str">
        <x:v>Tabela</x:v>
      </x:c>
      <x:c r="B34" s="88" t="str">
        <x:v>Provas | Nível</x:v>
      </x:c>
      <x:c r="C34"/>
    </x:row>
    <x:row r="35" ht="15" hidden="0" customHeight="1">
      <x:c r="A35" s="91" t="str">
        <x:v>Tabela</x:v>
      </x:c>
      <x:c r="B35" s="88" t="str">
        <x:v>3 de 3 | 🔴</x:v>
      </x:c>
      <x:c r="C35"/>
    </x:row>
    <x:row r="36" ht="15" hidden="0" customHeight="1">
      <x:c r="A36" s="91" t="str">
        <x:v>Tabela</x:v>
      </x:c>
      <x:c r="B36" s="88" t="str">
        <x:v>2 de 3 | 🟠</x:v>
      </x:c>
      <x:c r="C36"/>
    </x:row>
    <x:row r="37" ht="15" hidden="0" customHeight="1">
      <x:c r="A37" s="91" t="str">
        <x:v>Tabela</x:v>
      </x:c>
      <x:c r="B37" s="88" t="str">
        <x:v>1 de 3 | 🟡</x:v>
      </x:c>
      <x:c r="C37"/>
    </x:row>
    <x:row r="38" ht="15" hidden="0" customHeight="1">
      <x:c r="A38" s="91" t="str">
        <x:v>Tabela</x:v>
      </x:c>
      <x:c r="B38" s="88" t="str">
        <x:v>0 de 3 | ⚪</x:v>
      </x:c>
      <x:c r="C38"/>
    </x:row>
    <x:row r="39" ht="25.200000762939453" hidden="0" customHeight="1">
      <x:c r="A39" s="91" t="str">
        <x:v>Tópico</x:v>
      </x:c>
      <x:c r="B39" s="88" t="str">
        <x:v>• Mesmo tema = mesmo mecanismo, independente do objeto cobrado (UV num cubo, numa cena ou num dado = "Coordenadas de textura"; borrão com a distância e artefato do mipmapping = "Filtragem de textura").</x:v>
      </x:c>
      <x:c r="C39"/>
    </x:row>
    <x:row r="40" ht="25.200000762939453" hidden="0" customHeight="1">
      <x:c r="A40" s="91" t="str">
        <x:v>Tópico</x:v>
      </x:c>
      <x:c r="B40" s="88" t="str">
        <x:v>• Um card herda o nível do tema mais recorrente que precisa dele para ser respondido, não do capítulo todo. Ex.: o card "transformação de viewport" fica ⚪ porque a questão MVP termina em clip/NDC.</x:v>
      </x:c>
      <x:c r="C40"/>
    </x:row>
    <x:row r="41" ht="25.200000762939453" hidden="0" customHeight="1">
      <x:c r="A41" s="91" t="str">
        <x:v>Nota</x:v>
      </x:c>
      <x:c r="B41" s="88" t="str">
        <x:v>Passo 3 — Livro. Se o mecanismo central do card não está no livro (⚠), rebaixa um nível (🔴→🟠→🟡→⚪). Motivo: a referência é o livro; o resto é só a ideia.</x:v>
      </x:c>
      <x:c r="C41"/>
    </x:row>
    <x:row r="42" ht="25.200000762939453" hidden="0" customHeight="1">
      <x:c r="A42" s="91" t="str">
        <x:v>Nota</x:v>
      </x:c>
      <x:c r="B42" s="88" t="str">
        <x:v>Passo 4 — Peso (ordenação, não nível). Dentro do mesmo nível, estude primeiro o que apareceu na questão de maior pontuação (hoje só 2024 P1 tem notas: Q1 2,0 · Q2 3,0 · Q3 5,0 — o MVP).</x:v>
      </x:c>
      <x:c r="C42"/>
    </x:row>
    <x:row r="43" ht="25.200000762939453" hidden="0" customHeight="1">
      <x:c r="A43" s="91" t="str">
        <x:v>Nota</x:v>
      </x:c>
      <x:c r="B43" s="88" t="str">
        <x:v>Como os arquivos herdam isso: agrupa por nível final; os resumos trazem um aviso de escopo no topo e um anexo 🚫 no fim; mostra a seção do livro de cada questão.</x:v>
      </x:c>
      <x:c r="C43"/>
    </x:row>
    <x:row r="44" ht="15" hidden="0" customHeight="1">
      <x:c r="A44" s="101" t="str">
        <x:v>Seção</x:v>
      </x:c>
      <x:c r="B44" s="101" t="str">
        <x:v>3. Matriz de recorrência (preencher/ajustar a cada prova nova)</x:v>
      </x:c>
      <x:c r="C44"/>
    </x:row>
    <x:row r="45" ht="15" hidden="0" customHeight="1">
      <x:c r="A45" s="91" t="str">
        <x:v>Tabela</x:v>
      </x:c>
      <x:c r="B45" s="88" t="str">
        <x:v>Tema | Seção do livro | 2024 Estudo | 2024 P1 | 2025 P1 | Freq. | Prioridade</x:v>
      </x:c>
      <x:c r="C45"/>
    </x:row>
    <x:row r="46" ht="15" hidden="0" customHeight="1">
      <x:c r="A46" s="91" t="str">
        <x:v>Tabela</x:v>
      </x:c>
      <x:c r="B46" s="88" t="str">
        <x:v>MVP do triângulo (R→S→T, câmara, projeção, visível?) | 3.2–3.5, 5.2–5.6 | Q3 | Q3 (5,0) | Q6 | 3/3 | 🔴</x:v>
      </x:c>
      <x:c r="C46"/>
    </x:row>
    <x:row r="47" ht="15" hidden="0" customHeight="1">
      <x:c r="A47" s="91" t="str">
        <x:v>Tabela</x:v>
      </x:c>
      <x:c r="B47" s="88" t="str">
        <x:v>Coordenadas de textura (UV) em cena/cubo | 8.3.4.1 | Q1 | Q1 (2,0) | Q1 | 3/3 | 🔴</x:v>
      </x:c>
      <x:c r="C47"/>
    </x:row>
    <x:row r="48" ht="15" hidden="0" customHeight="1">
      <x:c r="A48" s="91" t="str">
        <x:v>Tabela</x:v>
      </x:c>
      <x:c r="B48" s="88" t="str">
        <x:v>Filtragem de textura / mipmapping (borrão, aliasing) | 8.3.4.2 | Q2 | Q2 (3,0) | Q2b | 3/3 | 🔴</x:v>
      </x:c>
      <x:c r="C48"/>
    </x:row>
    <x:row r="49" ht="15" hidden="0" customHeight="1">
      <x:c r="A49" s="91" t="str">
        <x:v>Tabela</x:v>
      </x:c>
      <x:c r="B49" s="88" t="str">
        <x:v>Gouraud × Phong (calcular luz no vértice × fragmento) | 7.3.2–7.3.3, 8.3.2–8.3.3 | Q1' | — | Q4b (cor interpolada) | 2/3 | 🟠</x:v>
      </x:c>
      <x:c r="C49"/>
    </x:row>
    <x:row r="50" ht="15" hidden="0" customHeight="1">
      <x:c r="A50" s="91" t="str">
        <x:v>Tabela</x:v>
      </x:c>
      <x:c r="B50" s="88" t="str">
        <x:v>Distorção por interpolação em perspectiva | 7.3.4 ("distorção de perspetiva"), 8.3.4.1 | — | — | Q2a | 1/3 | 🟡</x:v>
      </x:c>
      <x:c r="C50"/>
    </x:row>
    <x:row r="51" ht="15" hidden="0" customHeight="1">
      <x:c r="A51" s="91" t="str">
        <x:v>Tabela</x:v>
      </x:c>
      <x:c r="B51" s="88" t="str">
        <x:v>Reflexão difusa (Lambert, vetor L) / normais | 7.2.2, 7.3.1 | — | — | Q3 | 1/3 | 🟡</x:v>
      </x:c>
      <x:c r="C51"/>
    </x:row>
    <x:row r="52" ht="15" hidden="0" customHeight="1">
      <x:c r="A52" s="91" t="str">
        <x:v>Tabela</x:v>
      </x:c>
      <x:c r="B52" s="88" t="str">
        <x:v>Bump mapping (normais perturbadas) | 8.3.4.3 | — | — | Q4a | 1/3 | 🟡</x:v>
      </x:c>
      <x:c r="C52"/>
    </x:row>
    <x:row r="53" ht="15" hidden="0" customHeight="1">
      <x:c r="A53" s="91" t="str">
        <x:v>Tabela</x:v>
      </x:c>
      <x:c r="B53" s="88" t="str">
        <x:v>Environment mapping | 8.3.4.4 | — | — | — | 0/3 | ⚪</x:v>
      </x:c>
      <x:c r="C53"/>
    </x:row>
    <x:row r="54" ht="15" hidden="0" customHeight="1">
      <x:c r="A54" s="91" t="str">
        <x:v>Tabela</x:v>
      </x:c>
      <x:c r="B54" s="88" t="str">
        <x:v>Especular / ambiente / fontes de luz | 7.1, 7.2.1, 7.2.3 | — | — | — | 0/3 | ⚪ (base p/ responder as outras)</x:v>
      </x:c>
      <x:c r="C54"/>
    </x:row>
    <x:row r="55" ht="15" hidden="0" customHeight="1">
      <x:c r="A55" s="91" t="str">
        <x:v>Tabela</x:v>
      </x:c>
      <x:c r="B55" s="88" t="str">
        <x:v>Pipeline, framebuffer, janela×viewport | 2.2–2.6 | — | — | — | 0/3 | ⚪ (teoria "de graça")</x:v>
      </x:c>
      <x:c r="C55"/>
    </x:row>
    <x:row r="56" ht="25.200000762939453" hidden="0" customHeight="1">
      <x:c r="A56" s="91" t="str">
        <x:v>Nota</x:v>
      </x:c>
      <x:c r="B56" s="88" t="str">
        <x:v>Padrão das provas: sempre 1 questão MVP (peso alto) + 2–3 de textura + 1 de iluminação/shader. As questões pedem "explique por quê" + "qual a solução", não definições.</x:v>
      </x:c>
      <x:c r="C56"/>
    </x:row>
    <x:row r="57" ht="15" hidden="0" customHeight="1">
      <x:c r="A57" s="101" t="str">
        <x:v>Seção</x:v>
      </x:c>
      <x:c r="B57" s="101" t="str">
        <x:v>4. Como manter</x:v>
      </x:c>
      <x:c r="C57"/>
    </x:row>
    <x:row r="58" ht="15" hidden="0" customHeight="1">
      <x:c r="A58" s="91" t="str">
        <x:v>Passo</x:v>
      </x:c>
      <x:c r="B58" s="88" t="str">
        <x:v>1. Uma linha por tema (não por questão); colunas = provas; célula = nº da questão (+ peso).</x:v>
      </x:c>
      <x:c r="C58"/>
    </x:row>
    <x:row r="59" ht="15" hidden="0" customHeight="1">
      <x:c r="A59" s="91" t="str">
        <x:v>Passo</x:v>
      </x:c>
      <x:c r="B59" s="88" t="str">
        <x:v>2. Coluna seção do livro — é o que valida se está no escopo.</x:v>
      </x:c>
      <x:c r="C59"/>
    </x:row>
    <x:row r="60" ht="15" hidden="0" customHeight="1">
      <x:c r="A60" s="91" t="str">
        <x:v>Passo</x:v>
      </x:c>
      <x:c r="B60" s="88" t="str">
        <x:v>3. Ao entrar uma prova nova, só adicionar a coluna e recalcular Freq./Prioridade.</x:v>
      </x:c>
      <x:c r="C60"/>
    </x:row>
    <x:row r="61" ht="15" hidden="0" customHeight="1">
      <x:c r="A61" s="91" t="str">
        <x:v>Passo</x:v>
      </x:c>
      <x:c r="B61" s="88" t="str">
        <x:v>4. Separar o que o livro responde do que veio de aula (⚠ nos resumos).</x:v>
      </x:c>
      <x:c r="C61"/>
    </x:row>
    <x:row r="62" ht="15" hidden="0" customHeight="1">
      <x:c r="A62" s="106" t="str">
        <x:v>Seção</x:v>
      </x:c>
      <x:c r="B62" s="106" t="str">
        <x:v>Questões das provas anteriores + resposta-modelo</x:v>
      </x:c>
      <x:c r="C62"/>
    </x:row>
    <x:row r="63" ht="25.200000762939453" hidden="0" customHeight="1">
      <x:c r="A63" s="91" t="str">
        <x:v>Nota</x:v>
      </x:c>
      <x:c r="B63" s="88" t="str">
        <x:v>Fontes: , , (prof. Alessandro). Padrão: MVP (computador) + ~3–4 questões teóricas (texturas, iluminação, shaders), sempre "explique por quê" + "indique a solução".</x:v>
      </x:c>
      <x:c r="C63"/>
    </x:row>
    <x:row r="64" ht="25.200000762939453" hidden="0" customHeight="1">
      <x:c r="A64" s="91" t="str">
        <x:v>Nota</x:v>
      </x:c>
      <x:c r="B64" s="88" t="str">
        <x:v>Legenda: ✅ coberto pelo livro · ⚠ fora do livro (conhecimento geral; prioridade baixa: basta a ideia). Cada questão traz a seção do livro e se está no escopo — ver .</x:v>
      </x:c>
      <x:c r="C64"/>
    </x:row>
    <x:row r="65" ht="15" hidden="0" customHeight="1">
      <x:c r="A65" s="101" t="str">
        <x:v>Seção</x:v>
      </x:c>
      <x:c r="B65" s="101" t="str">
        <x:v>Mapa de temas (frequência)</x:v>
      </x:c>
      <x:c r="C65"/>
    </x:row>
    <x:row r="66" ht="15" hidden="0" customHeight="1">
      <x:c r="A66" s="91" t="str">
        <x:v>Tabela</x:v>
      </x:c>
      <x:c r="B66" s="88" t="str">
        <x:v>Tema | 2024 Estudo | 2024 P1 | 2025 P1</x:v>
      </x:c>
      <x:c r="C66"/>
    </x:row>
    <x:row r="67" ht="15" hidden="0" customHeight="1">
      <x:c r="A67" s="91" t="str">
        <x:v>Tabela</x:v>
      </x:c>
      <x:c r="B67" s="88" t="str">
        <x:v>Coordenadas de textura (UV) | Q1 | Q1 | Q1</x:v>
      </x:c>
      <x:c r="C67"/>
    </x:row>
    <x:row r="68" ht="15" hidden="0" customHeight="1">
      <x:c r="A68" s="91" t="str">
        <x:v>Tabela</x:v>
      </x:c>
      <x:c r="B68" s="88" t="str">
        <x:v>Filtragem/mipmapping/anisotrópico | Q2 | Q2 | Q2b</x:v>
      </x:c>
      <x:c r="C68"/>
    </x:row>
    <x:row r="69" ht="15" hidden="0" customHeight="1">
      <x:c r="A69" s="91" t="str">
        <x:v>Tabela</x:v>
      </x:c>
      <x:c r="B69" s="88" t="str">
        <x:v>Interpolação com correção de perspectiva | | | Q2a</x:v>
      </x:c>
      <x:c r="C69"/>
    </x:row>
    <x:row r="70" ht="15" hidden="0" customHeight="1">
      <x:c r="A70" s="91" t="str">
        <x:v>Tabela</x:v>
      </x:c>
      <x:c r="B70" s="88" t="str">
        <x:v>Iluminação / sombreamento | Q1' (2 planos) | | Q3</x:v>
      </x:c>
      <x:c r="C70"/>
    </x:row>
    <x:row r="71" ht="15" hidden="0" customHeight="1">
      <x:c r="A71" s="91" t="str">
        <x:v>Tabela</x:v>
      </x:c>
      <x:c r="B71" s="88" t="str">
        <x:v>Normal / bump mapping | | | Q4</x:v>
      </x:c>
      <x:c r="C71"/>
    </x:row>
    <x:row r="72" ht="15" hidden="0" customHeight="1">
      <x:c r="A72" s="91" t="str">
        <x:v>Tabela</x:v>
      </x:c>
      <x:c r="B72" s="88" t="str">
        <x:v>Rasterização / interpolação de atributos | | | Q5 (2 buffers)</x:v>
      </x:c>
      <x:c r="C72"/>
    </x:row>
    <x:row r="73" ht="15" hidden="0" customHeight="1">
      <x:c r="A73" s="91" t="str">
        <x:v>Tabela</x:v>
      </x:c>
      <x:c r="B73" s="88" t="str">
        <x:v>MVP + visibilidade | Q3 | Q3 | Q6</x:v>
      </x:c>
      <x:c r="C73"/>
    </x:row>
    <x:row r="74" ht="15" hidden="0" customHeight="1">
      <x:c r="A74" s="101" t="str">
        <x:v>Seção</x:v>
      </x:c>
      <x:c r="B74" s="101" t="str">
        <x:v>2024 Estudo</x:v>
      </x:c>
      <x:c r="C74"/>
    </x:row>
    <x:row r="75" ht="15" hidden="0" customHeight="1">
      <x:c r="A75" s="111" t="str">
        <x:v>Seção</x:v>
      </x:c>
      <x:c r="B75" s="111" t="str">
        <x:v>Q1 — UV de cena com textura replicada (rua, calçada, muro) ✅/⚠</x:v>
      </x:c>
      <x:c r="C75"/>
    </x:row>
    <x:row r="76" ht="15" hidden="0" customHeight="1">
      <x:c r="A76" s="91" t="str">
        <x:v>Nota</x:v>
      </x:c>
      <x:c r="B76" s="88" t="str">
        <x:v>Seção do livro: 8.3.4.1 dentro</x:v>
      </x:c>
      <x:c r="C76"/>
    </x:row>
    <x:row r="77" ht="15" hidden="0" customHeight="1">
      <x:c r="A77" s="91" t="str">
        <x:v>Nota</x:v>
      </x:c>
      <x:c r="B77" s="88" t="str">
        <x:v>Ideia: cada vértice recebe (s,t); o número de repetições = extensão do intervalo de s/t, com wrap REPEAT ⚠.</x:v>
      </x:c>
      <x:c r="C77"/>
    </x:row>
    <x:row r="78" ht="15" hidden="0" customHeight="1">
      <x:c r="A78" s="91" t="str">
        <x:v>Tópico</x:v>
      </x:c>
      <x:c r="B78" s="88" t="str">
        <x:v>• Textura em 4 faixas lado a lado (calçamento, azulejo, pedra, tijolo) → é um atlas horizontal: cada sub-textura ocupa s ∈ [k/4,(k+1)/4], t ∈ [0,1].</x:v>
      </x:c>
      <x:c r="C78"/>
    </x:row>
    <x:row r="79" ht="25.200000762939453" hidden="0" customHeight="1">
      <x:c r="A79" s="91" t="str">
        <x:v>Tópico</x:v>
      </x:c>
      <x:c r="B79" s="88" t="str">
        <x:v>• Para um quadrilátero de largura 2× e altura N× (usando a imagem separada, REPEAT): vértices (0,0) (2,0) (2,N) (0,N). Rua e muro: s vai de 0 a 2. Altura: t vai de 0 a N (nº de repetições vistas).</x:v>
      </x:c>
      <x:c r="C79"/>
    </x:row>
    <x:row r="80" ht="25.200000762939453" hidden="0" customHeight="1">
      <x:c r="A80" s="91" t="str">
        <x:v>Tópico</x:v>
      </x:c>
      <x:c r="B80" s="88" t="str">
        <x:v>• Com atlas, REPEAT repetiria o atlas inteiro: para repetir só uma faixa é preciso s' = k/4 + fract(s)/4 no fragment shader ⚠ (ou imagens separadas / array de texturas).</x:v>
      </x:c>
      <x:c r="C80"/>
    </x:row>
    <x:row r="81" ht="15" hidden="0" customHeight="1">
      <x:c r="A81" s="91" t="str">
        <x:v>Tópico</x:v>
      </x:c>
      <x:c r="B81" s="88" t="str">
        <x:v>• Cada vértice compartilhado entre faces com UV diferentes precisa ser duplicado.</x:v>
      </x:c>
      <x:c r="C81"/>
    </x:row>
    <x:row r="82" ht="15" hidden="0" customHeight="1">
      <x:c r="A82" s="111" t="str">
        <x:v>Seção</x:v>
      </x:c>
      <x:c r="B82" s="111" t="str">
        <x:v>Q2 — Por que a textura fica borrada com a distância? Solução ✅/⚠</x:v>
      </x:c>
      <x:c r="C82"/>
    </x:row>
    <x:row r="83" ht="15" hidden="0" customHeight="1">
      <x:c r="A83" s="91" t="str">
        <x:v>Nota</x:v>
      </x:c>
      <x:c r="B83" s="88" t="str">
        <x:v>Seção do livro: 8.3.4.2 dentro</x:v>
      </x:c>
      <x:c r="C83"/>
    </x:row>
    <x:row r="84" ht="25.200000762939453" hidden="0" customHeight="1">
      <x:c r="A84" s="91" t="str">
        <x:v>Tópico</x:v>
      </x:c>
      <x:c r="B84" s="88" t="str">
        <x:v>• Longe, vários texels caem no mesmo píxel (minificação). Com filtro isotrópico/mipmapping o sistema usa níveis de baixa resolução (média de muitos texels) ⇒ borrão; sem filtro ⇒ aliasing/cintilação. Além disso o chão em perspectiva é visto de forma oblíqua (pegada alongada).</x:v>
      </x:c>
      <x:c r="C84"/>
    </x:row>
    <x:row r="85" ht="25.200000762939453" hidden="0" customHeight="1">
      <x:c r="A85" s="91" t="str">
        <x:v>Tópico</x:v>
      </x:c>
      <x:c r="B85" s="88" t="str">
        <x:v>• Solução: mipmapping/trilinear (pré-filtragem) ✅ e, para o borrão em superfícies oblíquas, filtragem anisotrópica ⚠ (amostra vários texels ao longo do eixo alongado, escolhe mip pelo eixo menor). Opcional: LOD bias.</x:v>
      </x:c>
      <x:c r="C85"/>
    </x:row>
    <x:row r="86" ht="15" hidden="0" customHeight="1">
      <x:c r="A86" s="111" t="str">
        <x:v>Seção</x:v>
      </x:c>
      <x:c r="B86" s="111" t="str">
        <x:v>Q1' — Dois planos, mesmo modelo de iluminação, resultados diferentes ✅</x:v>
      </x:c>
      <x:c r="C86"/>
    </x:row>
    <x:row r="87" ht="15" hidden="0" customHeight="1">
      <x:c r="A87" s="91" t="str">
        <x:v>Nota</x:v>
      </x:c>
      <x:c r="B87" s="88" t="str">
        <x:v>Seção do livro: 7.3.2–7.3.3 dentro</x:v>
      </x:c>
      <x:c r="C87"/>
    </x:row>
    <x:row r="88" ht="15" hidden="0" customHeight="1">
      <x:c r="A88" s="91" t="str">
        <x:v>Nota</x:v>
      </x:c>
      <x:c r="B88" s="88" t="str">
        <x:v>Mesma geometria/luz, resultados diferentes ⇒ diferença está onde a iluminação é calculada:</x:v>
      </x:c>
      <x:c r="C88"/>
    </x:row>
    <x:row r="89" ht="25.200000762939453" hidden="0" customHeight="1">
      <x:c r="A89" s="91" t="str">
        <x:v>Tópico</x:v>
      </x:c>
      <x:c r="B89" s="88" t="str">
        <x:v>• Plano com poucos vértices + Gouraud: a luz é calculada só nos 4 vértices e interpolada → o brilho (especular/difuso pontual) é "lavado"/perde o hot spot (a luz está no meio e nenhum vértice a vê).</x:v>
      </x:c>
      <x:c r="C89"/>
    </x:row>
    <x:row r="90" ht="15" hidden="0" customHeight="1">
      <x:c r="A90" s="91" t="str">
        <x:v>Tópico</x:v>
      </x:c>
      <x:c r="B90" s="88" t="str">
        <x:v>• Plano com Phong (por fragmento) ou malha tesselada: o brilho aparece no centro, circular.</x:v>
      </x:c>
      <x:c r="C90"/>
    </x:row>
    <x:row r="91" ht="25.200000762939453" hidden="0" customHeight="1">
      <x:c r="A91" s="91" t="str">
        <x:v>Tópico</x:v>
      </x:c>
      <x:c r="B91" s="88" t="str">
        <x:v>• Vantagem/desvantagem: Gouraud barato (cálculo por vértice) × impreciso no especular; Phong correto × caro (cálculo por fragmento). Alternativa: tesselar o plano (mais vértices) — mais geometria.</x:v>
      </x:c>
      <x:c r="C91"/>
    </x:row>
    <x:row r="92" ht="15" hidden="0" customHeight="1">
      <x:c r="A92" s="111" t="str">
        <x:v>Seção</x:v>
      </x:c>
      <x:c r="B92" s="111" t="str">
        <x:v>Q3 — MVP (X = último dígito, Y = penúltimo)</x:v>
      </x:c>
      <x:c r="C92"/>
    </x:row>
    <x:row r="93" ht="15" hidden="0" customHeight="1">
      <x:c r="A93" s="91" t="str">
        <x:v>Nota</x:v>
      </x:c>
      <x:c r="B93" s="88" t="str">
        <x:v>Seção do livro: 3.2–3.5, cap. 5 dentro</x:v>
      </x:c>
      <x:c r="C93"/>
    </x:row>
    <x:row r="94" ht="25.200000762939453" hidden="0" customHeight="1">
      <x:c r="A94" s="91" t="str">
        <x:v>Nota</x:v>
      </x:c>
      <x:c r="B94" s="88" t="str">
        <x:v>Triângulo A(−2.5,−2.5,2), B(X,Y,2), C(−2.5,2.5,2); rot Z 60° central; escala 2; target = centro; up (0,1,0); eye (3,32,1); 800×600; fov 60°; far 25; near 1. → ver . Aviso: eye quase colinear com Up.</x:v>
      </x:c>
      <x:c r="C94"/>
    </x:row>
    <x:row r="95" ht="15" hidden="0" customHeight="1">
      <x:c r="A95" s="101" t="str">
        <x:v>Seção</x:v>
      </x:c>
      <x:c r="B95" s="101" t="str">
        <x:v>2024 P1</x:v>
      </x:c>
      <x:c r="C95"/>
    </x:row>
    <x:row r="96" ht="15" hidden="0" customHeight="1">
      <x:c r="A96" s="111" t="str">
        <x:v>Seção</x:v>
      </x:c>
      <x:c r="B96" s="111" t="str">
        <x:v>Q1 (2,0) — Mapear o "dado" num cubo ✅</x:v>
      </x:c>
      <x:c r="C96"/>
    </x:row>
    <x:row r="97" ht="15" hidden="0" customHeight="1">
      <x:c r="A97" s="91" t="str">
        <x:v>Nota</x:v>
      </x:c>
      <x:c r="B97" s="88" t="str">
        <x:v>Seção do livro: 8.3.4.1 dentro</x:v>
      </x:c>
      <x:c r="C97"/>
    </x:row>
    <x:row r="98" ht="15" hidden="0" customHeight="1">
      <x:c r="A98" s="91" t="str">
        <x:v>Nota</x:v>
      </x:c>
      <x:c r="B98" s="88" t="str">
        <x:v>Atlas em cruz 4 colunas × 3 linhas (origem inferior esquerda):</x:v>
      </x:c>
      <x:c r="C98"/>
    </x:row>
    <x:row r="99" ht="25.200000762939453" hidden="0" customHeight="1">
      <x:c r="A99" s="91" t="str">
        <x:v>Nota</x:v>
      </x:c>
      <x:c r="B99" s="88" t="str">
        <x:v>u ∈ {0, ¼, ½, ¾, 1}, v ∈ {0, ⅓, ⅔, 1}. Linha do meio (v ∈ [⅓,⅔]): faces 1, 2, 6, 5; acima da face 6: face 4; abaixo: face 3 (opostas somam 7: 1–6, 2–5, 3–4 ✔).</x:v>
      </x:c>
      <x:c r="C99"/>
    </x:row>
    <x:row r="100" ht="15" hidden="0" customHeight="1">
      <x:c r="A100" s="91" t="str">
        <x:v>Nota</x:v>
      </x:c>
      <x:c r="B100" s="88" t="str">
        <x:v>Cubo: frente z=+1: A(−1,−1,1) B(1,−1,1) C(1,1,1) D(−1,1,1); trás z=−1: E(−1,−1,−1) F(1,−1,−1) G(1,1,−1) H(−1,1,−1).</x:v>
      </x:c>
      <x:c r="C100"/>
    </x:row>
    <x:row r="101" ht="15" hidden="0" customHeight="1">
      <x:c r="A101" s="91" t="str">
        <x:v>Tabela</x:v>
      </x:c>
      <x:c r="B101" s="88" t="str">
        <x:v>Face (nº) | vértices → (u,v)</x:v>
      </x:c>
      <x:c r="C101"/>
    </x:row>
    <x:row r="102" ht="15" hidden="0" customHeight="1">
      <x:c r="A102" s="91" t="str">
        <x:v>Tabela</x:v>
      </x:c>
      <x:c r="B102" s="88" t="str">
        <x:v>Frente (6) | A(.5,⅓) B(.75,⅓) C(.75,⅔) D(.5,⅔)</x:v>
      </x:c>
      <x:c r="C102"/>
    </x:row>
    <x:row r="103" ht="15" hidden="0" customHeight="1">
      <x:c r="A103" s="91" t="str">
        <x:v>Tabela</x:v>
      </x:c>
      <x:c r="B103" s="88" t="str">
        <x:v>Esquerda (2) | E(.25,⅓) A(.5,⅓) D(.5,⅔) H(.25,⅔)</x:v>
      </x:c>
      <x:c r="C103"/>
    </x:row>
    <x:row r="104" ht="15" hidden="0" customHeight="1">
      <x:c r="A104" s="91" t="str">
        <x:v>Tabela</x:v>
      </x:c>
      <x:c r="B104" s="88" t="str">
        <x:v>Trás (1) | F(0,⅓) E(.25,⅓) H(.25,⅔) G(0,⅔)</x:v>
      </x:c>
      <x:c r="C104"/>
    </x:row>
    <x:row r="105" ht="15" hidden="0" customHeight="1">
      <x:c r="A105" s="91" t="str">
        <x:v>Tabela</x:v>
      </x:c>
      <x:c r="B105" s="88" t="str">
        <x:v>Direita (5) | B(.75,⅓) F(1,⅓) G(1,⅔) C(.75,⅔)</x:v>
      </x:c>
      <x:c r="C105"/>
    </x:row>
    <x:row r="106" ht="15" hidden="0" customHeight="1">
      <x:c r="A106" s="91" t="str">
        <x:v>Tabela</x:v>
      </x:c>
      <x:c r="B106" s="88" t="str">
        <x:v>Topo (4) | D(.5,⅔) C(.75,⅔) G(.75,1) H(.5,1)</x:v>
      </x:c>
      <x:c r="C106"/>
    </x:row>
    <x:row r="107" ht="15" hidden="0" customHeight="1">
      <x:c r="A107" s="91" t="str">
        <x:v>Tabela</x:v>
      </x:c>
      <x:c r="B107" s="88" t="str">
        <x:v>Base (3) | E(.5,0) F(.75,0) B(.75,⅓) A(.5,⅓)</x:v>
      </x:c>
      <x:c r="C107"/>
    </x:row>
    <x:row r="108" ht="15" hidden="0" customHeight="1">
      <x:c r="A108" s="91" t="str">
        <x:v>Tópico</x:v>
      </x:c>
      <x:c r="B108" s="88" t="str">
        <x:v>• São 24 vértices (4 por face, cada um com UV próprio), não 8.</x:v>
      </x:c>
      <x:c r="C108"/>
    </x:row>
    <x:row r="109" ht="15" hidden="0" customHeight="1">
      <x:c r="A109" s="91" t="str">
        <x:v>Tópico</x:v>
      </x:c>
      <x:c r="B109" s="88" t="str">
        <x:v>• Vantagem: 1 textura/1 bind/1 draw call; fácil de pintar (atlas/unwrap).</x:v>
      </x:c>
      <x:c r="C109"/>
    </x:row>
    <x:row r="110" ht="25.200000762939453" hidden="0" customHeight="1">
      <x:c r="A110" s="91" t="str">
        <x:v>Tópico</x:v>
      </x:c>
      <x:c r="B110" s="88" t="str">
        <x:v>• Desvantagem: ½ da imagem desperdiçada (células vazias); resolução por face = 1/12 da imagem; sangramento (bleeding) entre faces vizinhas com filtro/mipmap; vértices duplicados; costuras visíveis.</x:v>
      </x:c>
      <x:c r="C110"/>
    </x:row>
    <x:row r="111" ht="15" hidden="0" customHeight="1">
      <x:c r="A111" s="91" t="str">
        <x:v>Tópico</x:v>
      </x:c>
      <x:c r="B111" s="88" t="str">
        <x:v>• Se a origem for canto superior esquerdo, v → 1−v.</x:v>
      </x:c>
      <x:c r="C111"/>
    </x:row>
    <x:row r="112" ht="15" hidden="0" customHeight="1">
      <x:c r="A112" s="111" t="str">
        <x:v>Seção</x:v>
      </x:c>
      <x:c r="B112" s="111" t="str">
        <x:v>Q2 (3,0) — Algoritmo do João (média dos texels no retângulo [u±Δu/2, v±Δv/2]) ✅/⚠</x:v>
      </x:c>
      <x:c r="C112"/>
    </x:row>
    <x:row r="113" ht="15" hidden="0" customHeight="1">
      <x:c r="A113" s="91" t="str">
        <x:v>Nota</x:v>
      </x:c>
      <x:c r="B113" s="88" t="str">
        <x:v>Seção do livro: 8.3.4.2 dentro (+ 🔗 8.5)</x:v>
      </x:c>
      <x:c r="C113"/>
    </x:row>
    <x:row r="114" ht="15" hidden="0" customHeight="1">
      <x:c r="A114" s="91" t="str">
        <x:v>Nota</x:v>
      </x:c>
      <x:c r="B114" s="88" t="str">
        <x:v>O pseudocódigo é uma filtragem por caixa (box filter / área) por fragmento.</x:v>
      </x:c>
      <x:c r="C114"/>
    </x:row>
    <x:row r="115" ht="25.200000762939453" hidden="0" customHeight="1">
      <x:c r="A115" s="91" t="str">
        <x:v>Tópico</x:v>
      </x:c>
      <x:c r="B115" s="88" t="str">
        <x:v>• a) Problema: aliasing por minificação (muitos texels por fragmento: cintilação/moiré/ruído, formas irregulares ao longe). Amostrar um único texel (NEAREST) descarta todos os outros → ruído e instabilidade no movimento; a média da área representa melhor o píxel.</x:v>
      </x:c>
      <x:c r="C115"/>
    </x:row>
    <x:row r="116" ht="50.400001525878906" hidden="0" customHeight="1">
      <x:c r="A116" s="91" t="str">
        <x:v>Tópico</x:v>
      </x:c>
      <x:c r="B116" s="88" t="str">
        <x:v>• b) Limitações: Performance: custa O(N) leituras por fragmento, N cresce com a distância (justamente onde há mais fragmentos pequenos) → gargalo de largura de banda. Qualidade: retângulo alinhado aos eixos de (u,v) — em superfícies oblíquas a pegada real é um trapézio/elipse alongada, então borra no eixo curto ou deixa aliasing no longo; filtro de caixa (pesos iguais) é um mau filtro passa-baixa (vaza frequências); não trata magnificação; Δu,Δv por vizinhos têm erro nas arestas/descontinuidades.</x:v>
      </x:c>
      <x:c r="C116"/>
    </x:row>
    <x:row r="117" ht="37.79999923706055" hidden="0" customHeight="1">
      <x:c r="A117" s="91" t="str">
        <x:v>Tópico</x:v>
      </x:c>
      <x:c r="B117" s="88" t="str">
        <x:v>• c) Melhorias: Mipmapping (pré-filtra; O(1) por amostra; trilinear evita saltos; custo +33 % memória) ✅; filtragem anisotrópica (amostras ao longo do eixo maior da pegada) ⚠; bilinear para magnificação ✅; (opcional) summed-area tables ⚠ — média de retângulo em O(1) mas ainda alinhada aos eixos.</x:v>
      </x:c>
      <x:c r="C117"/>
    </x:row>
    <x:row r="118" ht="15" hidden="0" customHeight="1">
      <x:c r="A118" s="111" t="str">
        <x:v>Seção</x:v>
      </x:c>
      <x:c r="B118" s="111" t="str">
        <x:v>Q3 (5,0) — MVP (X, Y = dígitos): ver .</x:v>
      </x:c>
      <x:c r="C118"/>
    </x:row>
    <x:row r="119" ht="15" hidden="0" customHeight="1">
      <x:c r="A119" s="91" t="str">
        <x:v>Nota</x:v>
      </x:c>
      <x:c r="B119" s="88" t="str">
        <x:v>Seção do livro: 3.2–3.5, cap. 5 dentro</x:v>
      </x:c>
      <x:c r="C119"/>
    </x:row>
    <x:row r="120" ht="25.200000762939453" hidden="0" customHeight="1">
      <x:c r="A120" s="91" t="str">
        <x:v>Nota</x:v>
      </x:c>
      <x:c r="B120" s="88" t="str">
        <x:v>Pergunta adicional: o triângulo é visível? Depende da matrícula (tabela no passo-a-passo): com far=10 e eye em z=15, só entra quando Y ≳ 5; para Y ≤ 4 está além do far ⇒ não visível. Justifique com z_ndc &gt; 1.</x:v>
      </x:c>
      <x:c r="C120"/>
    </x:row>
    <x:row r="121" ht="15" hidden="0" customHeight="1">
      <x:c r="A121" s="101" t="str">
        <x:v>Seção</x:v>
      </x:c>
      <x:c r="B121" s="101" t="str">
        <x:v>2025 P1</x:v>
      </x:c>
      <x:c r="C121"/>
    </x:row>
    <x:row r="122" ht="15" hidden="0" customHeight="1">
      <x:c r="A122" s="111" t="str">
        <x:v>Seção</x:v>
      </x:c>
      <x:c r="B122" s="111" t="str">
        <x:v>Q1 — Cubo xadrez com textura aplicada errado em 2 das 3 faces ✅/⚠</x:v>
      </x:c>
      <x:c r="C122"/>
    </x:row>
    <x:row r="123" ht="15" hidden="0" customHeight="1">
      <x:c r="A123" s="91" t="str">
        <x:v>Nota</x:v>
      </x:c>
      <x:c r="B123" s="88" t="str">
        <x:v>Seção do livro: 8.3.4.1 dentro</x:v>
      </x:c>
      <x:c r="C123"/>
    </x:row>
    <x:row r="124" ht="15" hidden="0" customHeight="1">
      <x:c r="A124" s="91" t="str">
        <x:v>Nota</x:v>
      </x:c>
      <x:c r="B124" s="88" t="str">
        <x:v>Procedimento: (1) nomeie os 8 vértices; (2) para cada face visível liste (s,t) por vértice; (3) compare com o correto (face inteira: (0,0),(1,0),(1,1),(0,1)).</x:v>
      </x:c>
      <x:c r="C124"/>
    </x:row>
    <x:row r="125" ht="50.400001525878906" hidden="0" customHeight="1">
      <x:c r="A125" s="91" t="str">
        <x:v>Tópico</x:v>
      </x:c>
      <x:c r="B125" s="88" t="str">
        <x:v>• A figura mostra listras (não xadrez) em duas faces ⇒ numa direção os UVs não variam (ou variam num intervalo mínimo: o mesmo valor de t em dois vértices opostos, ou coordenada esticada): a textura é projetada/esticada numa só direção. Isso acontece quando dois vértices de uma aresta recebem o mesmo UV ou quando se mapeia (s,t) = (x,y) em faces cuja normal é X/Y (a coordenada que deveria variar é a perdida) — projeção plana usada nas faces erradas ⚠.</x:v>
      </x:c>
      <x:c r="C125"/>
    </x:row>
    <x:row r="126" ht="15" hidden="0" customHeight="1">
      <x:c r="A126" s="91" t="str">
        <x:v>Tópico</x:v>
      </x:c>
      <x:c r="B126" s="88" t="str">
        <x:v>• Esboce na resposta: tabela vértice → (s,t) "usado" × "correto". Veja a imagem no PDF para nomear os vértices visíveis (frente, topo, lateral).</x:v>
      </x:c>
      <x:c r="C126"/>
    </x:row>
    <x:row r="127" ht="15" hidden="0" customHeight="1">
      <x:c r="A127" s="111" t="str">
        <x:v>Seção</x:v>
      </x:c>
      <x:c r="B127" s="111" t="str">
        <x:v>Q2a — Interpolação linear no ecrã distorce a textura em perspectiva ✅/⚠</x:v>
      </x:c>
      <x:c r="C127"/>
    </x:row>
    <x:row r="128" ht="15" hidden="0" customHeight="1">
      <x:c r="A128" s="91" t="str">
        <x:v>Nota</x:v>
      </x:c>
      <x:c r="B128" s="88" t="str">
        <x:v>Seção do livro: 7.3.4, 8.3.4.1 dentro (correção de perspetiva: fora do livro)</x:v>
      </x:c>
      <x:c r="C128"/>
    </x:row>
    <x:row r="129" ht="25.200000762939453" hidden="0" customHeight="1">
      <x:c r="A129" s="91" t="str">
        <x:v>Nota</x:v>
      </x:c>
      <x:c r="B129" s="88" t="str">
        <x:v>Projeção perspectiva é não linear (÷w): pontos igualmente espaçados no 3D não são igualmente espaçados no ecrã. Interpolar (s,t) linearmente entre vértices no espaço da tela assume espaçamento uniforme ⇒ a textura "dobra" ao longo da diagonal (efeito de rede/trapézio).</x:v>
      </x:c>
      <x:c r="C129"/>
    </x:row>
    <x:row r="130" ht="25.200000762939453" hidden="0" customHeight="1">
      <x:c r="A130" s="91" t="str">
        <x:v>Nota</x:v>
      </x:c>
      <x:c r="B130" s="88" t="str">
        <x:v>Correção: interpolar s/w, t/w e 1/w linearmente (são lineares no ecrã) e dividir: s = (s/w)/(1/w) — a interpolação em espaço homogêneo (correção de perspectiva).</x:v>
      </x:c>
      <x:c r="C130"/>
    </x:row>
    <x:row r="131" ht="15" hidden="0" customHeight="1">
      <x:c r="A131" s="111" t="str">
        <x:v>Seção</x:v>
      </x:c>
      <x:c r="B131" s="111" t="str">
        <x:v>Q2b — Artefato do mipmapping (imagem: chão de pedra borrado ao longe) e solução ✅/⚠</x:v>
      </x:c>
      <x:c r="C131"/>
    </x:row>
    <x:row r="132" ht="15" hidden="0" customHeight="1">
      <x:c r="A132" s="91" t="str">
        <x:v>Nota</x:v>
      </x:c>
      <x:c r="B132" s="88" t="str">
        <x:v>Seção do livro: 8.3.4.2 dentro (anisotrópico: fora do livro)</x:v>
      </x:c>
      <x:c r="C132"/>
    </x:row>
    <x:row r="133" ht="37.79999923706055" hidden="0" customHeight="1">
      <x:c r="A133" s="91" t="str">
        <x:v>Tópico</x:v>
      </x:c>
      <x:c r="B133" s="88" t="str">
        <x:v>• Por quê: mipmapping usa um único nível por fragmento, escolhido pelo maior lado da pegada do píxel no espaço da textura; em ângulos rasantes a pegada é muito alongada (anisotrópica) ⇒ escolhe-se um nível baixo demais (over-blur: borrão/perda de detalhe na direção em que havia detalhe). (Variante: faixas/degraus quando se muda de nível sem trilinear.)</x:v>
      </x:c>
      <x:c r="C133"/>
    </x:row>
    <x:row r="134" ht="25.200000762939453" hidden="0" customHeight="1">
      <x:c r="A134" s="91" t="str">
        <x:v>Tópico</x:v>
      </x:c>
      <x:c r="B134" s="88" t="str">
        <x:v>• Solução: filtragem anisotrópica: calcula-se o eixo maior e menor da pegada; usa-se o nível pelo eixo menor e toma-se várias amostras (2×–16×) ao longo do eixo maior, combinadas. Mais caro (mais texels por fragmento) mas preserva nitidez. Trilinear resolve apenas a transição entre níveis.</x:v>
      </x:c>
      <x:c r="C134"/>
    </x:row>
    <x:row r="135" ht="15" hidden="0" customHeight="1">
      <x:c r="A135" s="111" t="str">
        <x:v>Seção</x:v>
      </x:c>
      <x:c r="B135" s="111" t="str">
        <x:v>Q3 — "Gepeto": cubo com iluminação difusa "piramidal" ⚠</x:v>
      </x:c>
      <x:c r="C135"/>
    </x:row>
    <x:row r="136" ht="15" hidden="0" customHeight="1">
      <x:c r="A136" s="91" t="str">
        <x:v>Nota</x:v>
      </x:c>
      <x:c r="B136" s="88" t="str">
        <x:v>Seção do livro: 7.2.2, 7.3.1 dentro (normal matrix: fora do livro)</x:v>
      </x:c>
      <x:c r="C136"/>
    </x:row>
    <x:row r="137" ht="15" hidden="0" customHeight="1">
      <x:c r="A137" s="91" t="str">
        <x:v>Nota</x:v>
      </x:c>
      <x:c r="B137" s="88" t="str">
        <x:v>O professor corrigiu em segundos. Avalie cada item do chat:</x:v>
      </x:c>
      <x:c r="C137"/>
    </x:row>
    <x:row r="138" ht="37.79999923706055" hidden="0" customHeight="1">
      <x:c r="A138" s="91" t="str">
        <x:v>Passo</x:v>
      </x:c>
      <x:c r="B138" s="88" t="str">
        <x:v>1. Vetor de luz com sinal invertido — lightDir = normalize(rotPosition − lightPosition) aponta da luz para o ponto; Lambert exige L = normalize(lightPosition − position) (da superfície para a luz). Concordo: com o sinal trocado n·L fica negativo em ~metade das faces → max(...,0) = preto; o resto aparece com iluminação "ao contrário". É a causa mais plausível.</x:v>
      </x:c>
      <x:c r="C138"/>
    </x:row>
    <x:row r="139" ht="50.400001525878906" hidden="0" customHeight="1">
      <x:c r="A139" s="91" t="str">
        <x:v>Passo</x:v>
      </x:c>
      <x:c r="B139" s="88" t="str">
        <x:v>2. Normais por face → "aparência piramidal" — Concordo só em parte / discordo da conclusão: normal por face (cross(v1,v2)) num cubo é o correto (arestas vivas; flat shading é desejado). Não é erro por si. Só seria erro se: (a) a normal não é normalizada; (b) a ordem do produto vetorial/winding dá normal para dentro; (c) as normais não são transformadas pela normal matrix quando o cubo gira (aqui o rotPosition mostra que a posição é rodada ⇒ normais também precisam ser). Interpolação de normais entre vértices não ocorre se cada vértice carrega a normal da sua face (24 vértices).</x:v>
      </x:c>
      <x:c r="C139"/>
    </x:row>
    <x:row r="140" ht="15" hidden="0" customHeight="1">
      <x:c r="A140" s="91" t="str">
        <x:v>Passo</x:v>
      </x:c>
      <x:c r="B140" s="88" t="str">
        <x:v>3. Portanto: o Gepeto acerta o erro principal (sinal do vetor) e exagera/erra ao tratar flat shading do cubo como bug.</x:v>
      </x:c>
      <x:c r="C140"/>
    </x:row>
    <x:row r="141" ht="15" hidden="0" customHeight="1">
      <x:c r="A141" s="111" t="str">
        <x:v>Seção</x:v>
      </x:c>
      <x:c r="B141" s="111" t="str">
        <x:v>Q4a — Normal mapping em espaço tangente com normal errada ⚠</x:v>
      </x:c>
      <x:c r="C141"/>
    </x:row>
    <x:row r="142" ht="15" hidden="0" customHeight="1">
      <x:c r="A142" s="91" t="str">
        <x:v>Nota</x:v>
      </x:c>
      <x:c r="B142" s="88" t="str">
        <x:v>Seção do livro: 8.3.4.3 dentro (TBN: fora do livro)</x:v>
      </x:c>
      <x:c r="C142"/>
    </x:row>
    <x:row r="143" ht="15" hidden="0" customHeight="1">
      <x:c r="A143" s="91" t="str">
        <x:v>Nota</x:v>
      </x:c>
      <x:c r="B143" s="88" t="str">
        <x:v>Resultado errado (esquerda) × certo (direita) com "a normal da superfície usada como base não coincide com a geometria real".</x:v>
      </x:c>
      <x:c r="C143"/>
    </x:row>
    <x:row r="144" ht="25.200000762939453" hidden="0" customHeight="1">
      <x:c r="A144" s="91" t="str">
        <x:v>Tópico</x:v>
      </x:c>
      <x:c r="B144" s="88" t="str">
        <x:v>• Causa: a base TBN (Tangent, Bitangent, Normal) é construída com uma normal errada (ex.: normal não transformada/renormalizada, normal de outro modelo ou constante), então a normal do mapa é levada para o mundo no referencial errado ⇒ sombreamento incoerente.</x:v>
      </x:c>
      <x:c r="C144"/>
    </x:row>
    <x:row r="145" ht="37.79999923706055" hidden="0" customHeight="1">
      <x:c r="A145" s="91" t="str">
        <x:v>Tópico</x:v>
      </x:c>
      <x:c r="B145" s="88" t="str">
        <x:v>• Solução / onde: no vertex shader receber aNormal, aTangent (e bitangent = cross(N,T)·sinal), transformar com a normal matrix mat3(transpose(inverse(model))), normalizar (e reortogonalizar T por Gram-Schmidt: T = normalize(T − N·dot(N,T))), montar TBN e passá-la (ou a luz/olho já em espaço tangente) como varying ao fragment shader, que amostra o normal map n = 2·rgb − 1 e usa normalize(TBN·n) na iluminação.</x:v>
      </x:c>
      <x:c r="C145"/>
    </x:row>
    <x:row r="146" ht="15" hidden="0" customHeight="1">
      <x:c r="A146" s="111" t="str">
        <x:v>Seção</x:v>
      </x:c>
      <x:c r="B146" s="111" t="str">
        <x:v>Q4b — Quadrado = 2 triângulos, 2 buffers (posição e cor), 6 cores (1 verde + 5 vermelhas) ✅/⚠</x:v>
      </x:c>
      <x:c r="C146"/>
    </x:row>
    <x:row r="147" ht="15" hidden="0" customHeight="1">
      <x:c r="A147" s="91" t="str">
        <x:v>Nota</x:v>
      </x:c>
      <x:c r="B147" s="88" t="str">
        <x:v>Seção do livro: 8.3.2 dentro + 🔗 8.2 (interpolação de atributos)</x:v>
      </x:c>
      <x:c r="C147"/>
    </x:row>
    <x:row r="148" ht="25.200000762939453" hidden="0" customHeight="1">
      <x:c r="A148" s="91" t="str">
        <x:v>Tópico</x:v>
      </x:c>
      <x:c r="B148" s="88" t="str">
        <x:v>• Resultado: degradê verde→vermelho. Por quê: os atributos de vértice (cor) são interpolados linearmente pelo rasterizador (varying/Gouraud). O vértice verde "contamina" os píxeis próximos — as cores variam continuamente.</x:v>
      </x:c>
      <x:c r="C148"/>
    </x:row>
    <x:row r="149" ht="37.79999923706055" hidden="0" customHeight="1">
      <x:c r="A149" s="91" t="str">
        <x:v>Tópico</x:v>
      </x:c>
      <x:c r="B149" s="88" t="str">
        <x:v>• O que ele queria: região verde uniforme com aresta nítida. Procedimento: cores por primitiva, não por vértice: (i) duplicar vértices (cada triângulo com seus 3 vértices, drawArrays sem índices partilhados) e dar 3 vértices da mesma cor ao triângulo que deve ser verde; ou (ii) usar interpolação flat (GLSL ES 3.00) ⚠ — a cor do provoking vertex vale para todo o triângulo; ou (iii) uniform de cor por triângulo/draw call.</x:v>
      </x:c>
      <x:c r="C149"/>
    </x:row>
    <x:row r="150" ht="25.200000762939453" hidden="0" customHeight="1">
      <x:c r="A150" s="91" t="str">
        <x:v>Tópico</x:v>
      </x:c>
      <x:c r="B150" s="88" t="str">
        <x:v>• Detalhe: com 6 cores e 2 triângulos (6 vértices) → 1 verde + 5 vermelhos gera gradiente no triângulo que contém o verde; para o recorte "pequeno triângulo verde no canto" é preciso geometria extra (subdividir o quadrado).</x:v>
      </x:c>
      <x:c r="C150"/>
    </x:row>
    <x:row r="151" ht="15" hidden="0" customHeight="1">
      <x:c r="A151" s="111" t="str">
        <x:v>Seção</x:v>
      </x:c>
      <x:c r="B151" s="111" t="str">
        <x:v>Q5/Q6 — MVP de dois triângulos T e U + visibilidade</x:v>
      </x:c>
      <x:c r="C151"/>
    </x:row>
    <x:row r="152" ht="15" hidden="0" customHeight="1">
      <x:c r="A152" s="91" t="str">
        <x:v>Nota</x:v>
      </x:c>
      <x:c r="B152" s="88" t="str">
        <x:v>Seção do livro: 3.2–3.5, cap. 5 dentro</x:v>
      </x:c>
      <x:c r="C152"/>
    </x:row>
    <x:row r="153" ht="37.79999923706055" hidden="0" customHeight="1">
      <x:c r="A153" s="91" t="str">
        <x:v>Nota</x:v>
      </x:c>
      <x:c r="B153" s="88" t="str">
        <x:v>Y = (último dígito mod 5) + 2, X = 8 − Y. T: rot Z 45° (origem), escala 0,5. U: rot X −60° (próprio eixo = centro), escala 2, deslocamento +2 em X. Câmera: target origem, up (0,1,0), eye (0,−0.5,−5), 1024×768, fovy 45°, far 6, near 1. → (T e U fora do volume para qualquer Y = 2…6; correção: recuar a câmera, p.ex. eye=(0,0,−25), far=40).</x:v>
      </x:c>
      <x:c r="C153"/>
    </x:row>
    <x:row r="154" ht="15" hidden="0" customHeight="1">
      <x:c r="A154" s="106" t="str">
        <x:v>Seção</x:v>
      </x:c>
      <x:c r="B154" s="106" t="str">
        <x:v>Cap. 2 — Conceitos fundamentais (livro p. 1–24 do PDF)</x:v>
      </x:c>
      <x:c r="C154"/>
    </x:row>
    <x:row r="155" ht="15" hidden="0" customHeight="1">
      <x:c r="A155" s="112" t="str">
        <x:v>Escopo</x:v>
      </x:c>
      <x:c r="B155" s="88" t="str">
        <x:v>Escopo da prova: 2.2 a 2.6. Cor (2.7) está no anexo no fim do arquivo (🚫 fora).</x:v>
      </x:c>
      <x:c r="C155"/>
    </x:row>
    <x:row r="156" ht="15" hidden="0" customHeight="1">
      <x:c r="A156" s="112" t="str">
        <x:v>Escopo</x:v>
      </x:c>
      <x:c r="B156" s="88" t="str">
        <x:v>Capítulo mais "decoreba" e menos provável de cair nas questões práticas. Foco: pipeline, framebuffer, janela × viewport, modelos de cor.</x:v>
      </x:c>
      <x:c r="C156"/>
    </x:row>
    <x:row r="157" ht="15" hidden="0" customHeight="1">
      <x:c r="A157" s="101" t="str">
        <x:v>Seção</x:v>
      </x:c>
      <x:c r="B157" s="101" t="str">
        <x:v>1. Dispositivos e arquitetura raster</x:v>
      </x:c>
      <x:c r="C157"/>
    </x:row>
    <x:row r="158" ht="25.200000762939453" hidden="0" customHeight="1">
      <x:c r="A158" s="91" t="str">
        <x:v>Tópico</x:v>
      </x:c>
      <x:c r="B158" s="88" t="str">
        <x:v>• Vetorial: geometria em domínio contínuo (pontos extremos, centro+raio...). Raster (matricial): domínio discreto, matriz de píxeis; resolução = horiz × vert. Converter contínuo→discreto causa aliasing.</x:v>
      </x:c>
      <x:c r="C158"/>
    </x:row>
    <x:row r="159" ht="15" hidden="0" customHeight="1">
      <x:c r="A159" s="91" t="str">
        <x:v>Tópico</x:v>
      </x:c>
      <x:c r="B159" s="88" t="str">
        <x:v>• Interativo: resposta &lt; 0,1 s.</x:v>
      </x:c>
      <x:c r="C159"/>
    </x:row>
    <x:row r="160" ht="25.200000762939453" hidden="0" customHeight="1">
      <x:c r="A160" s="91" t="str">
        <x:v>Tópico</x:v>
      </x:c>
      <x:c r="B160" s="88" t="str">
        <x:v>• Placa gráfica raster = 3 blocos: GPU (gera a imagem a partir de comandos), memória de imagem / framebuffer (guarda píxeis), controlador de vídeo (lê o framebuffer e gera o sinal para o monitor). Mais um controlador de memória que arbitra o acesso GPU × vídeo e faz refresh da DRAM.</x:v>
      </x:c>
      <x:c r="C160"/>
    </x:row>
    <x:row r="161" ht="15" hidden="0" customHeight="1">
      <x:c r="A161" s="91" t="str">
        <x:v>Tópico</x:v>
      </x:c>
      <x:c r="B161" s="88" t="str">
        <x:v>• Profundidade do píxel (N bits) → nº máx. de cores simultâneas.</x:v>
      </x:c>
      <x:c r="C161"/>
    </x:row>
    <x:row r="162" ht="15" hidden="0" customHeight="1">
      <x:c r="A162" s="91" t="str">
        <x:v>Tópico</x:v>
      </x:c>
      <x:c r="B162" s="88" t="str">
        <x:v>• True Color: 24 bits (R,G,B de 8 bits) → 16 M cores. 1280×1024×24 bits = 3,75 MB.</x:v>
      </x:c>
      <x:c r="C162"/>
    </x:row>
    <x:row r="163" ht="15" hidden="0" customHeight="1">
      <x:c r="A163" s="91" t="str">
        <x:v>Tópico</x:v>
      </x:c>
      <x:c r="B163" s="88" t="str">
        <x:v>• Cor indexada: píxel = índice numa lookup table → ex.: 256 cores simultâneas, 1280×1024×8 bits = 1,25 MB (+ tabela 256×24 bits).</x:v>
      </x:c>
      <x:c r="C163"/>
    </x:row>
    <x:row r="164" ht="15" hidden="0" customHeight="1">
      <x:c r="A164" s="91" t="str">
        <x:v>Tópico</x:v>
      </x:c>
      <x:c r="B164" s="88" t="str">
        <x:v>• Tearing / fluidez: VRAM (2 portas) → double buffering → triple buffering + sincronização FPS × frequência do monitor (60–75 Hz).</x:v>
      </x:c>
      <x:c r="C164"/>
    </x:row>
    <x:row r="165" ht="15" hidden="0" customHeight="1">
      <x:c r="A165" s="101" t="str">
        <x:v>Seção</x:v>
      </x:c>
      <x:c r="B165" s="101" t="str">
        <x:v>2. Aplicações 3D e descrição de cena</x:v>
      </x:c>
      <x:c r="C165"/>
    </x:row>
    <x:row r="166" ht="15" hidden="0" customHeight="1">
      <x:c r="A166" s="91" t="str">
        <x:v>Tópico</x:v>
      </x:c>
      <x:c r="B166" s="88" t="str">
        <x:v>• API gráfica baixo nível: OpenGL, Direct3D, WebGL (falam com drivers). Alto nível: Java3D, OpenInventor, Unity, Unreal.</x:v>
      </x:c>
      <x:c r="C166"/>
    </x:row>
    <x:row r="167" ht="15" hidden="0" customHeight="1">
      <x:c r="A167" s="91" t="str">
        <x:v>Tópico</x:v>
      </x:c>
      <x:c r="B167" s="88" t="str">
        <x:v>• Cena = objetos (geometria + atributos) + fontes de luz.</x:v>
      </x:c>
      <x:c r="C167"/>
    </x:row>
    <x:row r="168" ht="15" hidden="0" customHeight="1">
      <x:c r="A168" s="91" t="str">
        <x:v>Tópico</x:v>
      </x:c>
      <x:c r="B168" s="88" t="str">
        <x:v>• Atributos de cor: (1) RGB nos vértices (ignora luzes); (2) material + modelo de iluminação; (3) coordenadas de textura.</x:v>
      </x:c>
      <x:c r="C168"/>
    </x:row>
    <x:row r="169" ht="25.200000762939453" hidden="0" customHeight="1">
      <x:c r="A169" s="91" t="str">
        <x:v>Tópico</x:v>
      </x:c>
      <x:c r="B169" s="88" t="str">
        <x:v>• Grafo de cena: árvore; nós internos têm matrizes/atributos herdados; folhas têm o objeto em coordenadas locais. A composição das matrizes da raiz até a folha posiciona o objeto no sistema de coordenadas do mundo.</x:v>
      </x:c>
      <x:c r="C169"/>
    </x:row>
    <x:row r="170" ht="15" hidden="0" customHeight="1">
      <x:c r="A170" s="91" t="str">
        <x:v>Tópico</x:v>
      </x:c>
      <x:c r="B170" s="88" t="str">
        <x:v>• Pistas 3D numa imagem 2D: oclusão, gradiente de cor, sombra. Estereoscopia/paralaxe = duas câmaras.</x:v>
      </x:c>
      <x:c r="C170"/>
    </x:row>
    <x:row r="171" ht="15" hidden="0" customHeight="1">
      <x:c r="A171" s="101" t="str">
        <x:v>Seção</x:v>
      </x:c>
      <x:c r="B171" s="101" t="str">
        <x:v>3. Janela de visualização × viewport</x:v>
      </x:c>
      <x:c r="C171"/>
    </x:row>
    <x:row r="172" ht="25.200000762939453" hidden="0" customHeight="1">
      <x:c r="A172" s="91" t="str">
        <x:v>Tópico</x:v>
      </x:c>
      <x:c r="B172" s="88" t="str">
        <x:v>• Janela de visualização: retângulo na cena por onde "capturamos" o que interessa. Viewport (canvas): área do ecrã onde a imagem é desenhada (≈ tamanho da foto).</x:v>
      </x:c>
      <x:c r="C172"/>
    </x:row>
    <x:row r="173" ht="15" hidden="0" customHeight="1">
      <x:c r="A173" s="91" t="str">
        <x:v>Tópico</x:v>
      </x:c>
      <x:c r="B173" s="88" t="str">
        <x:v>• Relação de aspeto (largura/altura) do viewport deve ser igual à da janela → senão há distorção.</x:v>
      </x:c>
      <x:c r="C173"/>
    </x:row>
    <x:row r="174" ht="15" hidden="0" customHeight="1">
      <x:c r="A174" s="101" t="str">
        <x:v>Seção</x:v>
      </x:c>
      <x:c r="B174" s="101" t="str">
        <x:v>4. Pipeline de visualização (decorar a ordem!)</x:v>
      </x:c>
      <x:c r="C174"/>
    </x:row>
    <x:row r="175" ht="15" hidden="0" customHeight="1">
      <x:c r="A175" s="91" t="str">
        <x:v>Passo</x:v>
      </x:c>
      <x:c r="B175" s="88" t="str">
        <x:v>1. Lógica da aplicação → 2. geração de primitivas simples (pontos, linhas, polígonos convexos; tesselação) →</x:v>
      </x:c>
      <x:c r="C175"/>
    </x:row>
    <x:row r="176" ht="15" hidden="0" customHeight="1">
      <x:c r="A176" s="91" t="str">
        <x:v>Passo</x:v>
      </x:c>
      <x:c r="B176" s="88" t="str">
        <x:v>3. Transformação de visualização (mundo→câmara) → 4. Iluminação nos vértices → 5. Projeção → 6. Recorte → 7. Viewport →</x:v>
      </x:c>
      <x:c r="C176"/>
    </x:row>
    <x:row r="177" ht="15" hidden="0" customHeight="1">
      <x:c r="A177" s="91" t="str">
        <x:v>Passo</x:v>
      </x:c>
      <x:c r="B177" s="88" t="str">
        <x:v>8. Rasterização (fragmentos) → 9. Cálculo de cor do fragmento → 10. Composição (z-buffer, blending) → píxeis.</x:v>
      </x:c>
      <x:c r="C177"/>
    </x:row>
    <x:row r="178" ht="15" hidden="0" customHeight="1">
      <x:c r="A178" s="91" t="str">
        <x:v>Tabela</x:v>
      </x:c>
      <x:c r="B178" s="88" t="str">
        <x:v>Bloco | Andares | Faz</x:v>
      </x:c>
      <x:c r="C178"/>
    </x:row>
    <x:row r="179" ht="15" hidden="0" customHeight="1">
      <x:c r="A179" s="91" t="str">
        <x:v>Tabela</x:v>
      </x:c>
      <x:c r="B179" s="88" t="str">
        <x:v>Aplicação | 1–2 | lógica, colisões, navegação; gera primitivas simples</x:v>
      </x:c>
      <x:c r="C179"/>
    </x:row>
    <x:row r="180" ht="15" hidden="0" customHeight="1">
      <x:c r="A180" s="91" t="str">
        <x:v>Tabela</x:v>
      </x:c>
      <x:c r="B180" s="88" t="str">
        <x:v>Processamento geométrico | 3–7 | mundo → coordenadas do dispositivo (x,y = píxel; z = profundidade)</x:v>
      </x:c>
      <x:c r="C180"/>
    </x:row>
    <x:row r="181" ht="15" hidden="0" customHeight="1">
      <x:c r="A181" s="91" t="str">
        <x:v>Tabela</x:v>
      </x:c>
      <x:c r="B181" s="88" t="str">
        <x:v>Discretização | 8–10 | primitivas → píxeis com cor</x:v>
      </x:c>
      <x:c r="C181"/>
    </x:row>
    <x:row r="182" ht="15" hidden="0" customHeight="1">
      <x:c r="A182" s="91" t="str">
        <x:v>Tópico</x:v>
      </x:c>
      <x:c r="B182" s="88" t="str">
        <x:v>• GPUs só aceleram triângulos em hardware.</x:v>
      </x:c>
      <x:c r="C182"/>
    </x:row>
    <x:row r="183" ht="15" hidden="0" customHeight="1">
      <x:c r="A183" s="91" t="str">
        <x:v>Tópico</x:v>
      </x:c>
      <x:c r="B183" s="88" t="str">
        <x:v>• Gargalo = discretização (nº de píxeis e acessos à memória), não a geometria.</x:v>
      </x:c>
      <x:c r="C183"/>
    </x:row>
    <x:row r="184" ht="15" hidden="0" customHeight="1">
      <x:c r="A184" s="91" t="str">
        <x:v>Tópico</x:v>
      </x:c>
      <x:c r="B184" s="88" t="str">
        <x:v>• Pipeline (tempo real, compromisso FPS×realismo) × fotorrealismo/ray tracing (qualidade máx., reflexões múltiplas, lento).</x:v>
      </x:c>
      <x:c r="C184"/>
    </x:row>
    <x:row r="185" ht="15" hidden="0" customHeight="1">
      <x:c r="A185" s="101" t="str">
        <x:v>Seção</x:v>
      </x:c>
      <x:c r="B185" s="101" t="str">
        <x:v>Exercícios do livro (cap. 2)</x:v>
      </x:c>
      <x:c r="C185"/>
    </x:row>
    <x:row r="186" ht="25.200000762939453" hidden="0" customHeight="1">
      <x:c r="A186" s="91" t="str">
        <x:v>Nota</x:v>
      </x:c>
      <x:c r="B186" s="88" t="str">
        <x:v>2.1 blocos da arquitetura raster · 2.2 janela × viewport · 2.3 blocos do pipeline · 2.4 framebuffer · 2.5 modelo de cor para laser monocromática (→ só níveis de cinza/preto: modelo com luminância/K; CMY não é necessário).</x:v>
      </x:c>
      <x:c r="C186"/>
    </x:row>
    <x:row r="187" ht="15" hidden="0" customHeight="1">
      <x:c r="A187" s="101" t="str">
        <x:v>Seção</x:v>
      </x:c>
      <x:c r="B187" s="101" t="str">
        <x:v>Anexo 🚫 fora do escopo (2.7 — modelos de cor)</x:v>
      </x:c>
      <x:c r="C187"/>
    </x:row>
    <x:row r="188" ht="15" hidden="0" customHeight="1">
      <x:c r="A188" s="111" t="str">
        <x:v>Seção</x:v>
      </x:c>
      <x:c r="B188" s="111" t="str">
        <x:v>5. Cor</x:v>
      </x:c>
      <x:c r="C188"/>
    </x:row>
    <x:row r="189" ht="15" hidden="0" customHeight="1">
      <x:c r="A189" s="91" t="str">
        <x:v>Tópico</x:v>
      </x:c>
      <x:c r="B189" s="88" t="str">
        <x:v>• Teoria dos 3 estímulos (3 tipos de cones; 400 nm–700 nm).</x:v>
      </x:c>
      <x:c r="C189"/>
    </x:row>
    <x:row r="190" ht="15" hidden="0" customHeight="1">
      <x:c r="A190" s="91" t="str">
        <x:v>Tópico</x:v>
      </x:c>
      <x:c r="B190" s="88" t="str">
        <x:v>• RGB aditivo (ecrãs): cubo unitário; preto (0,0,0), branco (1,1,1), cinzas na diagonal. sRGB normaliza primárias + gama.</x:v>
      </x:c>
      <x:c r="C190"/>
    </x:row>
    <x:row r="191" ht="15" hidden="0" customHeight="1">
      <x:c r="A191" s="91" t="str">
        <x:v>Tópico</x:v>
      </x:c>
      <x:c r="B191" s="88" t="str">
        <x:v>• CMY subtrativo (impressoras): [R,G,B] = [1,1,1] − [C,M,Y]; branco (0,0,0), preto (1,1,1). CMYK não é modelo: só acrescenta tinteiro preto (K).</x:v>
      </x:c>
      <x:c r="C191"/>
    </x:row>
    <x:row r="192" ht="25.200000762939453" hidden="0" customHeight="1">
      <x:c r="A192" s="91" t="str">
        <x:v>Tópico</x:v>
      </x:c>
      <x:c r="B192" s="88" t="str">
        <x:v>• HSV / HSL: mais intuitivos. H = matiz (ângulo, 60° entre primárias), S = saturação, V = valor / L = luminosidade. HSV = pirâmide hexagonal; HSL = duas pirâmides (L=0,5 nas primárias).</x:v>
      </x:c>
      <x:c r="C192"/>
    </x:row>
    <x:row r="193" ht="25.200000762939453" hidden="0" customHeight="1">
      <x:c r="A193" s="91" t="str">
        <x:v>Tópico</x:v>
      </x:c>
      <x:c r="B193" s="88" t="str">
        <x:v>• YC'bC'r (YUV): luma Y' = 0,299R + 0,587G + 0,114B; crominâncias = diferenças. Usado em TV e JPEG (olho é mais sensível à luminância → comprime a crominância).</x:v>
      </x:c>
      <x:c r="C193"/>
    </x:row>
    <x:row r="194" ht="15" hidden="0" customHeight="1">
      <x:c r="A194" s="91" t="str">
        <x:v>Tópico</x:v>
      </x:c>
      <x:c r="B194" s="88" t="str">
        <x:v>• CIE XYZ: cobre todo o espectro visível; diagrama de cromaticidade (x,y; z = 1−x−y). Triângulo de 3 primárias nunca cobre todas as cores visíveis.</x:v>
      </x:c>
      <x:c r="C194"/>
    </x:row>
    <x:row r="195" ht="15" hidden="0" customHeight="1">
      <x:c r="A195" s="106" t="str">
        <x:v>Seção</x:v>
      </x:c>
      <x:c r="B195" s="106" t="str">
        <x:v>Cap. 3 — Transformações geométricas (livro p. 25–42 do PDF)</x:v>
      </x:c>
      <x:c r="C195"/>
    </x:row>
    <x:row r="196" ht="15" hidden="0" customHeight="1">
      <x:c r="A196" s="112" t="str">
        <x:v>Escopo</x:v>
      </x:c>
      <x:c r="B196" s="88" t="str">
        <x:v>Escopo da prova: 3.1 a 3.5. Modelação hierárquica/grafo de cena (3.6) está no anexo no fim do arquivo (🚫 fora).</x:v>
      </x:c>
      <x:c r="C196"/>
    </x:row>
    <x:row r="197" ht="15" hidden="0" customHeight="1">
      <x:c r="A197" s="112" t="str">
        <x:v>Escopo</x:v>
      </x:c>
      <x:c r="B197" s="88" t="str">
        <x:v>Alto risco de prova (Questão MVP vale 5,0 pts em 2024). Aqui está a base da conta no computador.</x:v>
      </x:c>
      <x:c r="C197"/>
    </x:row>
    <x:row r="198" ht="15" hidden="0" customHeight="1">
      <x:c r="A198" s="101" t="str">
        <x:v>Seção</x:v>
      </x:c>
      <x:c r="B198" s="101" t="str">
        <x:v>1. Transformações elementares (2D → 3D, coord. homogêneas)</x:v>
      </x:c>
      <x:c r="C198"/>
    </x:row>
    <x:row r="199" ht="15" hidden="0" customHeight="1">
      <x:c r="A199" s="91" t="str">
        <x:v>Nota</x:v>
      </x:c>
      <x:c r="B199" s="88" t="str">
        <x:v>Todo ponto vira (x, y, z, 1)ᵀ (vetor coluna). Assim translação também vira multiplicação de matriz e dá para compor tudo em uma matriz.</x:v>
      </x:c>
      <x:c r="C199"/>
    </x:row>
    <x:row r="200" ht="15" hidden="0" customHeight="1">
      <x:c r="A200" s="107" t="str">
        <x:v>Fórmula</x:v>
      </x:c>
      <x:c r="B200" s="113" t="str">
        <x:v>T(dx,dy,dz) = | 1 0 0 dx | S(sx,sy,sz) = | sx 0 0 0 |</x:v>
      </x:c>
      <x:c r="C200"/>
    </x:row>
    <x:row r="201" ht="15" hidden="0" customHeight="1">
      <x:c r="A201" s="91" t="str">
        <x:v>Tabela</x:v>
      </x:c>
      <x:c r="B201" s="88" t="str">
        <x:v>0 1 0 dy | | 0 sy 0 0</x:v>
      </x:c>
      <x:c r="C201"/>
    </x:row>
    <x:row r="202" ht="15" hidden="0" customHeight="1">
      <x:c r="A202" s="91" t="str">
        <x:v>Tabela</x:v>
      </x:c>
      <x:c r="B202" s="88" t="str">
        <x:v>0 0 1 dz | | 0 0 sz 0</x:v>
      </x:c>
      <x:c r="C202"/>
    </x:row>
    <x:row r="203" ht="15" hidden="0" customHeight="1">
      <x:c r="A203" s="91" t="str">
        <x:v>Tabela</x:v>
      </x:c>
      <x:c r="B203" s="88" t="str">
        <x:v>0 0 0 1 | | 0 0 0 1</x:v>
      </x:c>
      <x:c r="C203"/>
    </x:row>
    <x:row r="204" ht="15" hidden="0" customHeight="1">
      <x:c r="A204" s="107" t="str">
        <x:v>Fórmula</x:v>
      </x:c>
      <x:c r="B204" s="113" t="str">
        <x:v>Rz(β) = | cosβ -senβ 0 0 | Rx(β) = | 1 0 0 0 | Ry(β) = | cosβ 0 senβ 0 |</x:v>
      </x:c>
      <x:c r="C204"/>
    </x:row>
    <x:row r="205" ht="15" hidden="0" customHeight="1">
      <x:c r="A205" s="91" t="str">
        <x:v>Tabela</x:v>
      </x:c>
      <x:c r="B205" s="88" t="str">
        <x:v>senβ cosβ 0 0 | | 0 cosβ -senβ 0 | | 0 1 0 0</x:v>
      </x:c>
      <x:c r="C205"/>
    </x:row>
    <x:row r="206" ht="15" hidden="0" customHeight="1">
      <x:c r="A206" s="91" t="str">
        <x:v>Tabela</x:v>
      </x:c>
      <x:c r="B206" s="88" t="str">
        <x:v>0 0 1 0 | | 0 senβ cosβ 0 | | -senβ 0 cosβ 0</x:v>
      </x:c>
      <x:c r="C206"/>
    </x:row>
    <x:row r="207" ht="15" hidden="0" customHeight="1">
      <x:c r="A207" s="91" t="str">
        <x:v>Tabela</x:v>
      </x:c>
      <x:c r="B207" s="88" t="str">
        <x:v>0 0 0 1 | | 0 0 0 1 | | 0 0 0 1</x:v>
      </x:c>
      <x:c r="C207"/>
    </x:row>
    <x:row r="208" ht="15" hidden="0" customHeight="1">
      <x:c r="A208" s="91" t="str">
        <x:v>Nota</x:v>
      </x:c>
      <x:c r="B208" s="88" t="str">
        <x:v>(sentido anti-horário / direto, referencial de mão direita; note o sinal trocado de sen em Ry.)</x:v>
      </x:c>
      <x:c r="C208"/>
    </x:row>
    <x:row r="209" ht="25.200000762939453" hidden="0" customHeight="1">
      <x:c r="A209" s="91" t="str">
        <x:v>Tópico</x:v>
      </x:c>
      <x:c r="B209" s="88" t="str">
        <x:v>• Translação e rotação: preservam comprimento e ângulos (corpo rígido). Escala: só preserva ângulos se uniforme (sx=sy=sz); fatores negativos = reflexão.</x:v>
      </x:c>
      <x:c r="C209"/>
    </x:row>
    <x:row r="210" ht="15" hidden="0" customHeight="1">
      <x:c r="A210" s="91" t="str">
        <x:v>Tópico</x:v>
      </x:c>
      <x:c r="B210" s="88" t="str">
        <x:v>• Escala e rotação são relativas à ORIGEM → objeto fora da origem "anda".</x:v>
      </x:c>
      <x:c r="C210"/>
    </x:row>
    <x:row r="211" ht="15" hidden="0" customHeight="1">
      <x:c r="A211" s="91" t="str">
        <x:v>Tópico</x:v>
      </x:c>
      <x:c r="B211" s="88" t="str">
        <x:v>• Inversas: T⁻¹(d) = T(−d); S⁻¹(s) = S(1/s); R⁻¹(β) = R(−β) = Rᵀ(β).</x:v>
      </x:c>
      <x:c r="C211"/>
    </x:row>
    <x:row r="212" ht="15" hidden="0" customHeight="1">
      <x:c r="A212" s="101" t="str">
        <x:v>Seção</x:v>
      </x:c>
      <x:c r="B212" s="101" t="str">
        <x:v>2. Composição</x:v>
      </x:c>
      <x:c r="C212"/>
    </x:row>
    <x:row r="213" ht="15" hidden="0" customHeight="1">
      <x:c r="A213" s="91" t="str">
        <x:v>Tópico</x:v>
      </x:c>
      <x:c r="B213" s="88" t="str">
        <x:v>• Aplicar T₁ depois T₂ depois T₃ ⇒ M = T₃ · T₂ · T₁ (a matriz do primeiro passo fica mais à direita). Multiplicação não é comutativa.</x:v>
      </x:c>
      <x:c r="C213"/>
    </x:row>
    <x:row r="214" ht="15" hidden="0" customHeight="1">
      <x:c r="A214" s="91" t="str">
        <x:v>Tópico</x:v>
      </x:c>
      <x:c r="B214" s="88" t="str">
        <x:v>• Calcula-se M uma vez e aplica-se a todos os vértices (eficiência).</x:v>
      </x:c>
      <x:c r="C214"/>
    </x:row>
    <x:row r="215" ht="15" hidden="0" customHeight="1">
      <x:c r="A215" s="101" t="str">
        <x:v>Seção</x:v>
      </x:c>
      <x:c r="B215" s="101" t="str">
        <x:v>3. Receitas com pivô (muito cobrado)</x:v>
      </x:c>
      <x:c r="C215"/>
    </x:row>
    <x:row r="216" ht="15" hidden="0" customHeight="1">
      <x:c r="A216" s="91" t="str">
        <x:v>Tópico</x:v>
      </x:c>
      <x:c r="B216" s="88" t="str">
        <x:v>• Rotar em torno de um ponto C: M = T(+C) · R(β) · T(−C)</x:v>
      </x:c>
      <x:c r="C216"/>
    </x:row>
    <x:row r="217" ht="15" hidden="0" customHeight="1">
      <x:c r="A217" s="91" t="str">
        <x:v>Tópico</x:v>
      </x:c>
      <x:c r="B217" s="88" t="str">
        <x:v>• Escalar mantendo o centro C no lugar: M = T(+C) · S(s) · T(−C)</x:v>
      </x:c>
      <x:c r="C217"/>
    </x:row>
    <x:row r="218" ht="15" hidden="0" customHeight="1">
      <x:c r="A218" s="91" t="str">
        <x:v>Tópico</x:v>
      </x:c>
      <x:c r="B218" s="88" t="str">
        <x:v>• "Rotação em torno do eixo Z central/no centro do triângulo" ⇒ C = centróide = média dos 3 vértices.</x:v>
      </x:c>
      <x:c r="C218"/>
    </x:row>
    <x:row r="219" ht="25.200000762939453" hidden="0" customHeight="1">
      <x:c r="A219" s="91" t="str">
        <x:v>Tópico</x:v>
      </x:c>
      <x:c r="B219" s="88" t="str">
        <x:v>• "Aumento do objeto em dobro" ⇒ S(2,2,2). Em dúvida do pivô: diga explicitamente na prova qual assumiu (livro: escala é relativa à origem; "mantendo o centro" exige T(C)·S·T(−C)).</x:v>
      </x:c>
      <x:c r="C219"/>
    </x:row>
    <x:row r="220" ht="15" hidden="0" customHeight="1">
      <x:c r="A220" s="101" t="str">
        <x:v>Seção</x:v>
      </x:c>
      <x:c r="B220" s="101" t="str">
        <x:v>Exercícios do livro (cap. 3)</x:v>
      </x:c>
      <x:c r="C220"/>
    </x:row>
    <x:row r="221" ht="25.200000762939453" hidden="0" customHeight="1">
      <x:c r="A221" s="91" t="str">
        <x:v>Nota</x:v>
      </x:c>
      <x:c r="B221" s="88" t="str">
        <x:v>3.1–3.4 composição e não-comutatividade (T·R·S ≠ S·R·T) · 3.5–3.7 transformar triângulo 3D em outro · 3.8–3.9 bicicleta (referencial da roda dentro do da bicicleta: é hierarquia, tema de 3.6 → provavelmente 🚫 fora).</x:v>
      </x:c>
      <x:c r="C221"/>
    </x:row>
    <x:row r="222" ht="15" hidden="0" customHeight="1">
      <x:c r="A222" s="101" t="str">
        <x:v>Seção</x:v>
      </x:c>
      <x:c r="B222" s="101" t="str">
        <x:v>Anexo 🚫 fora do escopo (3.6 — modelação hierárquica)</x:v>
      </x:c>
      <x:c r="C222"/>
    </x:row>
    <x:row r="223" ht="15" hidden="0" customHeight="1">
      <x:c r="A223" s="111" t="str">
        <x:v>Seção</x:v>
      </x:c>
      <x:c r="B223" s="111" t="str">
        <x:v>4. Modelação hierárquica e grafo de cena</x:v>
      </x:c>
      <x:c r="C223"/>
    </x:row>
    <x:row r="224" ht="15" hidden="0" customHeight="1">
      <x:c r="A224" s="91" t="str">
        <x:v>Tópico</x:v>
      </x:c>
      <x:c r="B224" s="88" t="str">
        <x:v>• Peças modeladas na origem (coord. locais) e posicionadas por uma transformação de instanciação.</x:v>
      </x:c>
      <x:c r="C224"/>
    </x:row>
    <x:row r="225" ht="15" hidden="0" customHeight="1">
      <x:c r="A225" s="91" t="str">
        <x:v>Tópico</x:v>
      </x:c>
      <x:c r="B225" s="88" t="str">
        <x:v>• Filho herda a matriz do pai: M_braço = M_base · T(0,h_base,0) · Rz(α); M_antebraço = M_braço · T(L_braço,0,0) · Rz(−β).</x:v>
      </x:c>
      <x:c r="C225"/>
    </x:row>
    <x:row r="226" ht="15" hidden="0" customHeight="1">
      <x:c r="A226" s="91" t="str">
        <x:v>Tópico</x:v>
      </x:c>
      <x:c r="B226" s="88" t="str">
        <x:v>• Girar a base arrasta tudo; girar o antebraço só ele.</x:v>
      </x:c>
      <x:c r="C226"/>
    </x:row>
    <x:row r="227" ht="25.200000762939453" hidden="0" customHeight="1">
      <x:c r="A227" s="91" t="str">
        <x:v>Tópico</x:v>
      </x:c>
      <x:c r="B227" s="88" t="str">
        <x:v>• Grafo de cena = grafo acíclico de nós/arcos que guarda objetos + transformações. Primitivas unitárias (cubo/cilindro de lado 1) viram peças por escala + translação de metade do comprimento.</x:v>
      </x:c>
      <x:c r="C227"/>
    </x:row>
    <x:row r="228" ht="15" hidden="0" customHeight="1">
      <x:c r="A228" s="106" t="str">
        <x:v>Seção</x:v>
      </x:c>
      <x:c r="B228" s="106" t="str">
        <x:v>Cap. 5 — Processamento geométrico (livro p. 43–64 do PDF)</x:v>
      </x:c>
      <x:c r="C228"/>
    </x:row>
    <x:row r="229" ht="15" hidden="0" customHeight="1">
      <x:c r="A229" s="112" t="str">
        <x:v>Escopo</x:v>
      </x:c>
      <x:c r="B229" s="88" t="str">
        <x:v>Escopo da prova: capítulo inteiro.</x:v>
      </x:c>
      <x:c r="C229"/>
    </x:row>
    <x:row r="230" ht="25.200000762939453" hidden="0" customHeight="1">
      <x:c r="A230" s="112" t="str">
        <x:v>Escopo</x:v>
      </x:c>
      <x:c r="B230" s="88" t="str">
        <x:v>O capítulo da questão MVP. Dois dialetos: o livro (câmara "mão esquerda", estilo Direct3D, z canônico [0,1]) e OpenGL/WebGL (mão direita, z canônico [−1,1]) — a planilha usa OpenGL. Os conceitos são os mesmos.</x:v>
      </x:c>
      <x:c r="C230"/>
    </x:row>
    <x:row r="231" ht="15" hidden="0" customHeight="1">
      <x:c r="A231" s="112" t="str">
        <x:v>Escopo</x:v>
      </x:c>
      <x:c r="B231" s="88" t="str">
        <x:v>⚠ O PDF não contém o cap. 6 (recorte); o resumo de recorte abaixo vem só das seções 5.5.3.4 e 5.2.</x:v>
      </x:c>
      <x:c r="C231"/>
    </x:row>
    <x:row r="232" ht="15" hidden="0" customHeight="1">
      <x:c r="A232" s="101" t="str">
        <x:v>Seção</x:v>
      </x:c>
      <x:c r="B232" s="101" t="str">
        <x:v>1. Andares do processamento geométrico</x:v>
      </x:c>
      <x:c r="C232"/>
    </x:row>
    <x:row r="233" ht="15" hidden="0" customHeight="1">
      <x:c r="A233" s="91" t="str">
        <x:v>Nota</x:v>
      </x:c>
      <x:c r="B233" s="88" t="str">
        <x:v>Visualização → Iluminação (vértices) → Projeção → Recorte → (divisão perspetiva) → Viewport.</x:v>
      </x:c>
      <x:c r="C233"/>
    </x:row>
    <x:row r="234" ht="15" hidden="0" customHeight="1">
      <x:c r="A234" s="91" t="str">
        <x:v>Nota</x:v>
      </x:c>
      <x:c r="B234" s="88" t="str">
        <x:v>Espaços: mundo →(View)→ câmara →(Projeção)→ recorte (clip, 4D homogêneo) →(÷w)→ NDC →(Viewport)→ dispositivo (x,y píxel; z profundidade).</x:v>
      </x:c>
      <x:c r="C234"/>
    </x:row>
    <x:row r="235" ht="15" hidden="0" customHeight="1">
      <x:c r="A235" s="101" t="str">
        <x:v>Seção</x:v>
      </x:c>
      <x:c r="B235" s="101" t="str">
        <x:v>2. Câmara virtual simples</x:v>
      </x:c>
      <x:c r="C235"/>
    </x:row>
    <x:row r="236" ht="25.200000762939453" hidden="0" customHeight="1">
      <x:c r="A236" s="91" t="str">
        <x:v>Nota</x:v>
      </x:c>
      <x:c r="B236" s="88" t="str">
        <x:v>Parâmetros no mundo: posição C (eye), target (ou vetor de visualização V = target − eye), UP (ou UP' aproximado, não paralelo a V; o sistema o projeta no plano de visualização).</x:v>
      </x:c>
      <x:c r="C236"/>
    </x:row>
    <x:row r="237" ht="15" hidden="0" customHeight="1">
      <x:c r="A237" s="91" t="str">
        <x:v>Nota</x:v>
      </x:c>
      <x:c r="B237" s="88" t="str">
        <x:v>Base da câmara (uvn):</x:v>
      </x:c>
      <x:c r="C237"/>
    </x:row>
    <x:row r="238" ht="15" hidden="0" customHeight="1">
      <x:c r="A238" s="107" t="str">
        <x:v>Fórmula</x:v>
      </x:c>
      <x:c r="B238" s="113" t="str">
        <x:v>n = V / |V| (direção de visão normalizada)</x:v>
      </x:c>
      <x:c r="C238"/>
    </x:row>
    <x:row r="239" ht="15" hidden="0" customHeight="1">
      <x:c r="A239" s="107" t="str">
        <x:v>Fórmula</x:v>
      </x:c>
      <x:c r="B239" s="113" t="str">
        <x:v>UP = UP' − n (n·UP') ; v = UP/|UP| (Gram-Schmidt)</x:v>
      </x:c>
      <x:c r="C239"/>
    </x:row>
    <x:row r="240" ht="15" hidden="0" customHeight="1">
      <x:c r="A240" s="107" t="str">
        <x:v>Fórmula</x:v>
      </x:c>
      <x:c r="B240" s="113" t="str">
        <x:v>u = n × v (livro, mão esquerda) | OpenGL: s = f × up ; u = s × f</x:v>
      </x:c>
      <x:c r="C240"/>
    </x:row>
    <x:row r="241" ht="15" hidden="0" customHeight="1">
      <x:c r="A241" s="91" t="str">
        <x:v>Tópico</x:v>
      </x:c>
      <x:c r="B241" s="88" t="str">
        <x:v>• Livro/Direct3D: câmara olha para +z, menor profundidade = mais perto.</x:v>
      </x:c>
      <x:c r="C241"/>
    </x:row>
    <x:row r="242" ht="15" hidden="0" customHeight="1">
      <x:c r="A242" s="91" t="str">
        <x:v>Tópico</x:v>
      </x:c>
      <x:c r="B242" s="88" t="str">
        <x:v>• OpenGL: câmara olha para −z; near/far em z = −near / −far.</x:v>
      </x:c>
      <x:c r="C242"/>
    </x:row>
    <x:row r="243" ht="15" hidden="0" customHeight="1">
      <x:c r="A243" s="101" t="str">
        <x:v>Seção</x:v>
      </x:c>
      <x:c r="B243" s="101" t="str">
        <x:v>3. Volume de visualização</x:v>
      </x:c>
      <x:c r="C243"/>
    </x:row>
    <x:row r="244" ht="15" hidden="0" customHeight="1">
      <x:c r="A244" s="91" t="str">
        <x:v>Tópico</x:v>
      </x:c>
      <x:c r="B244" s="88" t="str">
        <x:v>• Janela de visualização: retângulo 2ℓ × 2a no plano a distância d, centrado no eixo z (câmara "simples"; ℓ = meia largura, a = meia altura).</x:v>
      </x:c>
      <x:c r="C244"/>
    </x:row>
    <x:row r="245" ht="15" hidden="0" customHeight="1">
      <x:c r="A245" s="91" t="str">
        <x:v>Tópico</x:v>
      </x:c>
      <x:c r="B245" s="88" t="str">
        <x:v>• Ortogonal: paralelepípedo; raios paralelos a V. Perspetiva: pirâmide com ápice em C → com near/far vira frustum (tronco de pirâmide).</x:v>
      </x:c>
      <x:c r="C245"/>
    </x:row>
    <x:row r="246" ht="15" hidden="0" customHeight="1">
      <x:c r="A246" s="91" t="str">
        <x:v>Tópico</x:v>
      </x:c>
      <x:c r="B246" s="88" t="str">
        <x:v>• near/far: perspetiva → 0 &lt; n &lt; f; ortogonal só n &lt; f. near/far evitam objetos longínquos (pontos inúteis) e objetos colados à câmera.</x:v>
      </x:c>
      <x:c r="C246"/>
    </x:row>
    <x:row r="247" ht="15" hidden="0" customHeight="1">
      <x:c r="A247" s="91" t="str">
        <x:v>Tópico</x:v>
      </x:c>
      <x:c r="B247" s="88" t="str">
        <x:v>• FOV (abertura): tg(θv/2) = a/d, tg(θh/2) = ℓ/d. Aspect = ℓ/a = largura/altura. Reduzir o FOV = efeito telescópio (zoom).</x:v>
      </x:c>
      <x:c r="C247"/>
    </x:row>
    <x:row r="248" ht="15" hidden="0" customHeight="1">
      <x:c r="A248" s="91" t="str">
        <x:v>Tópico</x:v>
      </x:c>
      <x:c r="B248" s="88" t="str">
        <x:v>• Relação útil: tg(θh/2) = aspect · tg(θv/2). Se o enunciado diz "FOV horizontal 120°", converta ou use a opção "Horizontal" da planilha.</x:v>
      </x:c>
      <x:c r="C248"/>
    </x:row>
    <x:row r="249" ht="15" hidden="0" customHeight="1">
      <x:c r="A249" s="91" t="str">
        <x:v>Tópico</x:v>
      </x:c>
      <x:c r="B249" s="88" t="str">
        <x:v>• OpenGL pede: fovy, aspect, near, far.</x:v>
      </x:c>
      <x:c r="C249"/>
    </x:row>
    <x:row r="250" ht="15" hidden="0" customHeight="1">
      <x:c r="A250" s="101" t="str">
        <x:v>Seção</x:v>
      </x:c>
      <x:c r="B250" s="101" t="str">
        <x:v>4. Transformação de visualização (View)</x:v>
      </x:c>
      <x:c r="C250"/>
    </x:row>
    <x:row r="251" ht="15" hidden="0" customHeight="1">
      <x:c r="A251" s="91" t="str">
        <x:v>Nota</x:v>
      </x:c>
      <x:c r="B251" s="88" t="str">
        <x:v>Translação −C seguida de rotação que alinha os eixos com uvn (e, no livro, reflexão z por S(1,1,−1) para mão esquerda):</x:v>
      </x:c>
      <x:c r="C251"/>
    </x:row>
    <x:row r="252" ht="15" hidden="0" customHeight="1">
      <x:c r="A252" s="107" t="str">
        <x:v>Fórmula</x:v>
      </x:c>
      <x:c r="B252" s="113" t="str">
        <x:v>OpenGL: V = | sx sy sz −s·eye | s = (f × up)/|…|, u = s × f, f = (target−eye)/|…|</x:v>
      </x:c>
      <x:c r="C252"/>
    </x:row>
    <x:row r="253" ht="15" hidden="0" customHeight="1">
      <x:c r="A253" s="91" t="str">
        <x:v>Tabela</x:v>
      </x:c>
      <x:c r="B253" s="88" t="str">
        <x:v>ux uy uz −u·eye</x:v>
      </x:c>
      <x:c r="C253"/>
    </x:row>
    <x:row r="254" ht="15" hidden="0" customHeight="1">
      <x:c r="A254" s="91" t="str">
        <x:v>Tabela</x:v>
      </x:c>
      <x:c r="B254" s="88" t="str">
        <x:v>−fx −fy −fz f·eye</x:v>
      </x:c>
      <x:c r="C254"/>
    </x:row>
    <x:row r="255" ht="15" hidden="0" customHeight="1">
      <x:c r="A255" s="91" t="str">
        <x:v>Tabela</x:v>
      </x:c>
      <x:c r="B255" s="88" t="str">
        <x:v>0 0 0 1</x:v>
      </x:c>
      <x:c r="C255"/>
    </x:row>
    <x:row r="256" ht="15" hidden="0" customHeight="1">
      <x:c r="A256" s="91" t="str">
        <x:v>Nota</x:v>
      </x:c>
      <x:c r="B256" s="88" t="str">
        <x:v>(Bate com as células G87:J90 da aba Matrizes.)</x:v>
      </x:c>
      <x:c r="C256"/>
    </x:row>
    <x:row r="257" ht="15" hidden="0" customHeight="1">
      <x:c r="A257" s="101" t="str">
        <x:v>Seção</x:v>
      </x:c>
      <x:c r="B257" s="101" t="str">
        <x:v>5. Projeção</x:v>
      </x:c>
      <x:c r="C257"/>
    </x:row>
    <x:row r="258" ht="15" hidden="0" customHeight="1">
      <x:c r="A258" s="111" t="str">
        <x:v>Seção</x:v>
      </x:c>
      <x:c r="B258" s="111" t="str">
        <x:v>5.1 Ortogonal (livro)</x:v>
      </x:c>
      <x:c r="C258"/>
    </x:row>
    <x:row r="259" ht="15" hidden="0" customHeight="1">
      <x:c r="A259" s="91" t="str">
        <x:v>Nota</x:v>
      </x:c>
      <x:c r="B259" s="88" t="str">
        <x:v>N_ort = S(1/ℓ, 1/a, 1/(f−n)) · T(0,0,−n) → leva o volume ao canônico: x,y ∈ [−1,1], z ∈ [0,1]. w continua 1 (homogeneização neutra).</x:v>
      </x:c>
      <x:c r="C259"/>
    </x:row>
    <x:row r="260" ht="37.79999923706055" hidden="0" customHeight="1">
      <x:c r="A260" s="91" t="str">
        <x:v>Nota</x:v>
      </x:c>
      <x:c r="B260" s="88" t="str">
        <x:v>(Exercício 5.3 do livro: a sequência correta é translada −n em z primeiro e depois escala por 1/ℓ, 1/a, 1/(f−n). Escreva a matriz como S·T, já que T age primeiro. Das alternativas B–E, só a D tem os fatores certos (T(0,0,−n) e 1/(f−n)), mas o livro a escreve na ordem T·S; A não está legível no OCR — confira no PDF p. 63–64.)</x:v>
      </x:c>
      <x:c r="C260"/>
    </x:row>
    <x:row r="261" ht="15" hidden="0" customHeight="1">
      <x:c r="A261" s="111" t="str">
        <x:v>Seção</x:v>
      </x:c>
      <x:c r="B261" s="111" t="str">
        <x:v>5.2 Perspetiva (livro) — 2 passos</x:v>
      </x:c>
      <x:c r="C261"/>
    </x:row>
    <x:row r="262" ht="15" hidden="0" customHeight="1">
      <x:c r="A262" s="91" t="str">
        <x:v>Passo</x:v>
      </x:c>
      <x:c r="B262" s="88" t="str">
        <x:v>1. Deformação perspetiva (frustum → paralelepípedo, ordena profundidade sem perdê-la):</x:v>
      </x:c>
      <x:c r="C262"/>
    </x:row>
    <x:row r="263" ht="15" hidden="0" customHeight="1">
      <x:c r="A263" s="91" t="str">
        <x:v>Nota</x:v>
      </x:c>
      <x:c r="B263" s="88" t="str">
        <x:v>M_persp = | d 0 0 0 ; 0 d 0 0 ; 0 0 n+f −nf ; 0 0 1 0 | → z' = (n+f) − nf/z (não linear, mas monótona).</x:v>
      </x:c>
      <x:c r="C263"/>
    </x:row>
    <x:row r="264" ht="15" hidden="0" customHeight="1">
      <x:c r="A264" s="91" t="str">
        <x:v>Passo</x:v>
      </x:c>
      <x:c r="B264" s="88" t="str">
        <x:v>2. Normalização ortogonal N_ort. Total: N_persp = N_ort · M_persp.</x:v>
      </x:c>
      <x:c r="C264"/>
    </x:row>
    <x:row r="265" ht="15" hidden="0" customHeight="1">
      <x:c r="A265" s="91" t="str">
        <x:v>Tópico</x:v>
      </x:c>
      <x:c r="B265" s="88" t="str">
        <x:v>• Projeção simples: x_p = d·x/z, y_p = d·y/z → encurtamento perspetivo; linhas preservadas, paralelismo não.</x:v>
      </x:c>
      <x:c r="C265"/>
    </x:row>
    <x:row r="266" ht="15" hidden="0" customHeight="1">
      <x:c r="A266" s="91" t="str">
        <x:v>Tópico</x:v>
      </x:c>
      <x:c r="B266" s="88" t="str">
        <x:v>• w ≠ 1 após a multiplicação (w = z); divisão perspetiva (÷w) devolve cartesianas.</x:v>
      </x:c>
      <x:c r="C266"/>
    </x:row>
    <x:row r="267" ht="15" hidden="0" customHeight="1">
      <x:c r="A267" s="91" t="str">
        <x:v>Tópico</x:v>
      </x:c>
      <x:c r="B267" s="88" t="str">
        <x:v>• Projeção simples é não invertível; a versão com z preservado serve ao Z-buffer.</x:v>
      </x:c>
      <x:c r="C267"/>
    </x:row>
    <x:row r="268" ht="15" hidden="0" customHeight="1">
      <x:c r="A268" s="111" t="str">
        <x:v>Seção</x:v>
      </x:c>
      <x:c r="B268" s="111" t="str">
        <x:v>5.3 Perspetiva OpenGL (o que a planilha usa)</x:v>
      </x:c>
      <x:c r="C268"/>
    </x:row>
    <x:row r="269" ht="15" hidden="0" customHeight="1">
      <x:c r="A269" s="107" t="str">
        <x:v>Fórmula</x:v>
      </x:c>
      <x:c r="B269" s="113" t="str">
        <x:v>f = 1/tan(fovy/2)</x:v>
      </x:c>
      <x:c r="C269"/>
    </x:row>
    <x:row r="270" ht="15" hidden="0" customHeight="1">
      <x:c r="A270" s="107" t="str">
        <x:v>Fórmula</x:v>
      </x:c>
      <x:c r="B270" s="113" t="str">
        <x:v>P = | f/aspect 0 0 0 |</x:v>
      </x:c>
      <x:c r="C270"/>
    </x:row>
    <x:row r="271" ht="15" hidden="0" customHeight="1">
      <x:c r="A271" s="91" t="str">
        <x:v>Tabela</x:v>
      </x:c>
      <x:c r="B271" s="88" t="str">
        <x:v>0 f 0 0</x:v>
      </x:c>
      <x:c r="C271"/>
    </x:row>
    <x:row r="272" ht="15" hidden="0" customHeight="1">
      <x:c r="A272" s="91" t="str">
        <x:v>Tabela</x:v>
      </x:c>
      <x:c r="B272" s="88" t="str">
        <x:v>0 0 −(F+N)/(F−N) −2FN/(F−N)</x:v>
      </x:c>
      <x:c r="C272"/>
    </x:row>
    <x:row r="273" ht="15" hidden="0" customHeight="1">
      <x:c r="A273" s="91" t="str">
        <x:v>Tabela</x:v>
      </x:c>
      <x:c r="B273" s="88" t="str">
        <x:v>0 0 −1 0</x:v>
      </x:c>
      <x:c r="C273"/>
    </x:row>
    <x:row r="274" ht="15" hidden="0" customHeight="1">
      <x:c r="A274" s="91" t="str">
        <x:v>Nota</x:v>
      </x:c>
      <x:c r="B274" s="88" t="str">
        <x:v>Tipo "Horizontal" na planilha: a célula da diagonal x vira 1/tan(fov/2) e a de y multiplica por aspect.</x:v>
      </x:c>
      <x:c r="C274"/>
    </x:row>
    <x:row r="275" ht="15" hidden="0" customHeight="1">
      <x:c r="A275" s="101" t="str">
        <x:v>Seção</x:v>
      </x:c>
      <x:c r="B275" s="101" t="str">
        <x:v>6. Recorte e divisão perspetiva</x:v>
      </x:c>
      <x:c r="C275"/>
    </x:row>
    <x:row r="276" ht="25.200000762939453" hidden="0" customHeight="1">
      <x:c r="A276" s="91" t="str">
        <x:v>Tópico</x:v>
      </x:c>
      <x:c r="B276" s="88" t="str">
        <x:v>• Volume canônico (OpenGL): −w ≤ x,y,z ≤ w em clip space (equivale a −1 ≤ x/w,y/w,z/w ≤ 1 em NDC). É exatamente o teste da aba Matrizes (x+w, w−x, y+w, w−y, z+w, w−z ≥ 0).</x:v>
      </x:c>
      <x:c r="C276"/>
    </x:row>
    <x:row r="277" ht="25.200000762939453" hidden="0" customHeight="1">
      <x:c r="A277" s="91" t="str">
        <x:v>Tópico</x:v>
      </x:c>
      <x:c r="B277" s="88" t="str">
        <x:v>• Recorte é feito antes da divisão (divisão é cara). Obrigatório recortar contra o plano near antes de dividir: ponto com z0 e reapareceria na frente da câmera.</x:v>
      </x:c>
      <x:c r="C277"/>
    </x:row>
    <x:row r="278" ht="15" hidden="0" customHeight="1">
      <x:c r="A278" s="91" t="str">
        <x:v>Tópico</x:v>
      </x:c>
      <x:c r="B278" s="88" t="str">
        <x:v>• Resultado: Dentro (todos os 6 planos OK), Parcialmente (recorte), Fora (rejeitado). Oclusão por outro objeto é outra coisa (Z-buffer).</x:v>
      </x:c>
      <x:c r="C278"/>
    </x:row>
    <x:row r="279" ht="15" hidden="0" customHeight="1">
      <x:c r="A279" s="101" t="str">
        <x:v>Seção</x:v>
      </x:c>
      <x:c r="B279" s="101" t="str">
        <x:v>7. Viewport</x:v>
      </x:c>
      <x:c r="C279"/>
    </x:row>
    <x:row r="280" ht="15" hidden="0" customHeight="1">
      <x:c r="A280" s="91" t="str">
        <x:v>Nota</x:v>
      </x:c>
      <x:c r="B280" s="88" t="str">
        <x:v>Converte NDC → píxeis: x_s = x_min + (x_ndc + 1)·(Δx)/2 (idem y); z mantém [0,1].</x:v>
      </x:c>
      <x:c r="C280"/>
    </x:row>
    <x:row r="281" ht="15" hidden="0" customHeight="1">
      <x:c r="A281" s="91" t="str">
        <x:v>Nota</x:v>
      </x:c>
      <x:c r="B281" s="88" t="str">
        <x:v>M_vp = T(xmin,ymin,0) · S(Δx/2, Δy/2, 1) · T(1,1,0).</x:v>
      </x:c>
      <x:c r="C281"/>
    </x:row>
    <x:row r="282" ht="15" hidden="0" customHeight="1">
      <x:c r="A282" s="101" t="str">
        <x:v>Seção</x:v>
      </x:c>
      <x:c r="B282" s="101" t="str">
        <x:v>8. Exercícios do livro</x:v>
      </x:c>
      <x:c r="C282"/>
    </x:row>
    <x:row r="283" ht="25.200000762939453" hidden="0" customHeight="1">
      <x:c r="A283" s="91" t="str">
        <x:v>Nota</x:v>
      </x:c>
      <x:c r="B283" s="88" t="str">
        <x:v>5.1 FOV vertical 90°, d=20, aspect 4/3 → a = d·tg45° = 20, altura 40, largura 53,3; 800 de largura ⇒ altura 600 (mantém aspect, evita distorção). 5.2 View para C=(1,2,7), target (1,2,0), UP (0,1,0): translação T(−1,−2,−7) e rotação (n = (0,0,−1)).</x:v>
      </x:c>
      <x:c r="C283"/>
    </x:row>
    <x:row r="284" ht="15" hidden="0" customHeight="1">
      <x:c r="A284" s="106" t="str">
        <x:v>Seção</x:v>
      </x:c>
      <x:c r="B284" s="106" t="str">
        <x:v>Cap. 7 — Iluminação e sombreamento (livro p. 65–84 do PDF)</x:v>
      </x:c>
      <x:c r="C284"/>
    </x:row>
    <x:row r="285" ht="15" hidden="0" customHeight="1">
      <x:c r="A285" s="112" t="str">
        <x:v>Escopo</x:v>
      </x:c>
      <x:c r="B285" s="88" t="str">
        <x:v>Escopo da prova: 7.1, 7.2.1–7.2.3 e 7.3. 🔗 Apoio: 7.2.4. 🚫 Fora: 7.2.5–7.2.8 (no anexo, fim do arquivo).</x:v>
      </x:c>
      <x:c r="C285"/>
    </x:row>
    <x:row r="286" ht="15" hidden="0" customHeight="1">
      <x:c r="A286" s="112" t="str">
        <x:v>Escopo</x:v>
      </x:c>
      <x:c r="B286" s="88" t="str">
        <x:v>Apareceu em prova: 2024 Estudo Q1' (dois planos, Gouraud × Phong), 2025 Q3 (Lambert, vetor de luz).</x:v>
      </x:c>
      <x:c r="C286"/>
    </x:row>
    <x:row r="287" ht="15" hidden="0" customHeight="1">
      <x:c r="A287" s="101" t="str">
        <x:v>Seção</x:v>
      </x:c>
      <x:c r="B287" s="101" t="str">
        <x:v>1. Fontes de luz (7.1)</x:v>
      </x:c>
      <x:c r="C287"/>
    </x:row>
    <x:row r="288" ht="15" hidden="0" customHeight="1">
      <x:c r="A288" s="91" t="str">
        <x:v>Tabela</x:v>
      </x:c>
      <x:c r="B288" s="88" t="str">
        <x:v>Tipo | Posição | Atenuação c/ distância | Direção</x:v>
      </x:c>
      <x:c r="C288"/>
    </x:row>
    <x:row r="289" ht="15" hidden="0" customHeight="1">
      <x:c r="A289" s="91" t="str">
        <x:v>Tabela</x:v>
      </x:c>
      <x:c r="B289" s="88" t="str">
        <x:v>Ambiente | não tem | não | não tem; intensidade constante</x:v>
      </x:c>
      <x:c r="C289"/>
    </x:row>
    <x:row r="290" ht="15" hidden="0" customHeight="1">
      <x:c r="A290" s="91" t="str">
        <x:v>Tabela</x:v>
      </x:c>
      <x:c r="B290" s="88" t="str">
        <x:v>Direcional | no infinito (raios paralelos) | não | sim (ex.: Sol)</x:v>
      </x:c>
      <x:c r="C290"/>
    </x:row>
    <x:row r="291" ht="15" hidden="0" customHeight="1">
      <x:c r="A291" s="91" t="str">
        <x:v>Tabela</x:v>
      </x:c>
      <x:c r="B291" s="88" t="str">
        <x:v>Pontual | sim | sim | todas as direções</x:v>
      </x:c>
      <x:c r="C291"/>
    </x:row>
    <x:row r="292" ht="15" hidden="0" customHeight="1">
      <x:c r="A292" s="91" t="str">
        <x:v>Tabela</x:v>
      </x:c>
      <x:c r="B292" s="88" t="str">
        <x:v>Spotlight | sim | sim | cone de abertura θ; atenuação radial ~cos^p φ</x:v>
      </x:c>
      <x:c r="C292"/>
    </x:row>
    <x:row r="293" ht="15" hidden="0" customHeight="1">
      <x:c r="A293" s="101" t="str">
        <x:v>Seção</x:v>
      </x:c>
      <x:c r="B293" s="101" t="str">
        <x:v>2. Modelo local de reflexão (7.2.1–7.2.3)</x:v>
      </x:c>
      <x:c r="C293"/>
    </x:row>
    <x:row r="294" ht="25.200000762939453" hidden="0" customHeight="1">
      <x:c r="A294" s="91" t="str">
        <x:v>Nota</x:v>
      </x:c>
      <x:c r="B294" s="88" t="str">
        <x:v>Modelo local: só a luz que vem direto das fontes; sem sombras nem reflexões múltiplas (isso é iluminação global / ray tracing). A luz ambiente aproxima as reflexões múltiplas — sem ela, o que não recebe luz direta fica preto (fig. 7.4).</x:v>
      </x:c>
      <x:c r="C294"/>
    </x:row>
    <x:row r="295" ht="15" hidden="0" customHeight="1">
      <x:c r="A295" s="91" t="str">
        <x:v>Tópico</x:v>
      </x:c>
      <x:c r="B295" s="88" t="str">
        <x:v>• n normal unitária; l vetor da superfície PARA a luz; v para o observador; r reflexo perfeito de l.</x:v>
      </x:c>
      <x:c r="C295"/>
    </x:row>
    <x:row r="296" ht="15" hidden="0" customHeight="1">
      <x:c r="A296" s="91" t="str">
        <x:v>Tópico</x:v>
      </x:c>
      <x:c r="B296" s="88" t="str">
        <x:v>• Ambiente (7.2.1): Ia = ka·La — uniforme, sem direção.</x:v>
      </x:c>
      <x:c r="C296"/>
    </x:row>
    <x:row r="297" ht="25.200000762939453" hidden="0" customHeight="1">
      <x:c r="A297" s="91" t="str">
        <x:v>Tópico</x:v>
      </x:c>
      <x:c r="B297" s="88" t="str">
        <x:v>• Difusa / Lambert (7.2.2): Id = kd·Ld·cosθ = kd·Ld·max(n·l, 0) — independe do observador; max evita luz "por baixo" do horizonte. kd alto = clara, kd baixo = escura.</x:v>
      </x:c>
      <x:c r="C297"/>
    </x:row>
    <x:row r="298" ht="25.200000762939453" hidden="0" customHeight="1">
      <x:c r="A298" s="91" t="str">
        <x:v>Tópico</x:v>
      </x:c>
      <x:c r="B298" s="88" t="str">
        <x:v>• Especular (7.2.3): Is = ks·Ls·max(r·v, 0)^α — depende do observador. α (brilho) alto = feixe estreito, brilho pequeno e intenso (metal polido 100–500); α baixo = brilho grande e difuso. Especular perfeita = α → ∞.</x:v>
      </x:c>
      <x:c r="C298"/>
    </x:row>
    <x:row r="299" ht="15" hidden="0" customHeight="1">
      <x:c r="A299" s="91" t="str">
        <x:v>Tópico</x:v>
      </x:c>
      <x:c r="B299" s="88" t="str">
        <x:v>• 🔗 7.2.4 (apoio): I = ka·La + kd·Ld·max(n·l,0) + ks·Ls·max(r·v,0)^α — é isto que Gouraud calcula nos vértices e Phong em cada fragmento.</x:v>
      </x:c>
      <x:c r="C299"/>
    </x:row>
    <x:row r="300" ht="15" hidden="0" customHeight="1">
      <x:c r="A300" s="101" t="str">
        <x:v>Seção</x:v>
      </x:c>
      <x:c r="B300" s="101" t="str">
        <x:v>3. Sombreamento (7.3) — como colorir os fragmentos</x:v>
      </x:c>
      <x:c r="C300"/>
    </x:row>
    <x:row r="301" ht="15" hidden="0" customHeight="1">
      <x:c r="A301" s="91" t="str">
        <x:v>Tabela</x:v>
      </x:c>
      <x:c r="B301" s="88" t="str">
        <x:v>| Constante (flat) | Gouraud | Phong</x:v>
      </x:c>
      <x:c r="C301"/>
    </x:row>
    <x:row r="302" ht="15" hidden="0" customHeight="1">
      <x:c r="A302" s="91" t="str">
        <x:v>Tabela</x:v>
      </x:c>
      <x:c r="B302" s="88" t="str">
        <x:v>Iluminação calculada | 1× por polígono | por vértice | por fragmento</x:v>
      </x:c>
      <x:c r="C302"/>
    </x:row>
    <x:row r="303" ht="15" hidden="0" customHeight="1">
      <x:c r="A303" s="91" t="str">
        <x:v>Tabela</x:v>
      </x:c>
      <x:c r="B303" s="88" t="str">
        <x:v>Interpola | nada | cor (dupla interpolação linear: arestas e depois linha de varrimento) | normal (renormalizar)</x:v>
      </x:c>
      <x:c r="C303"/>
    </x:row>
    <x:row r="304" ht="15" hidden="0" customHeight="1">
      <x:c r="A304" s="91" t="str">
        <x:v>Tabela</x:v>
      </x:c>
      <x:c r="B304" s="88" t="str">
        <x:v>Normal | do polígono | média das normais dos polígonos que partilham o vértice | interpolada</x:v>
      </x:c>
      <x:c r="C304"/>
    </x:row>
    <x:row r="305" ht="15" hidden="0" customHeight="1">
      <x:c r="A305" s="91" t="str">
        <x:v>Tabela</x:v>
      </x:c>
      <x:c r="B305" s="88" t="str">
        <x:v>Custo | menor | médio | maior</x:v>
      </x:c>
      <x:c r="C305"/>
    </x:row>
    <x:row r="306" ht="15" hidden="0" customHeight="1">
      <x:c r="A306" s="91" t="str">
        <x:v>Tabela</x:v>
      </x:c>
      <x:c r="B306" s="88" t="str">
        <x:v>Resultado | facetado, bandas de Mach | liso; perde/alarga brilho especular | brilhos corretos</x:v>
      </x:c>
      <x:c r="C306"/>
    </x:row>
    <x:row r="307" ht="15" hidden="0" customHeight="1">
      <x:c r="A307" s="91" t="str">
        <x:v>Tópico</x:v>
      </x:c>
      <x:c r="B307" s="88" t="str">
        <x:v>• Bandas de Mach: inibição lateral do olho realça as fronteiras entre polígonos de intensidade diferente.</x:v>
      </x:c>
      <x:c r="C307"/>
    </x:row>
    <x:row r="308" ht="15" hidden="0" customHeight="1">
      <x:c r="A308" s="91" t="str">
        <x:v>Tópico</x:v>
      </x:c>
      <x:c r="B308" s="88" t="str">
        <x:v>• Gouraud erra o especular porque só enxerga cores nos vértices: o hot spot no meio do polígono some (fig. 7.20).</x:v>
      </x:c>
      <x:c r="C308"/>
    </x:row>
    <x:row r="309" ht="25.200000762939453" hidden="0" customHeight="1">
      <x:c r="A309" s="91" t="str">
        <x:v>Tópico</x:v>
      </x:c>
      <x:c r="B309" s="88" t="str">
        <x:v>• Limitações (7.3.4): silhueta poligonal; distorção de perspetiva (interpola linearmente no espaço do ecrã, não no do mundo); a orientação do polígono altera o resultado; vértices não partilhados; normais de vértice incorretas (falso alisamento). Remédio comum: subdividir/tesselar.</x:v>
      </x:c>
      <x:c r="C309"/>
    </x:row>
    <x:row r="310" ht="15" hidden="0" customHeight="1">
      <x:c r="A310" s="101" t="str">
        <x:v>Seção</x:v>
      </x:c>
      <x:c r="B310" s="101" t="str">
        <x:v>4. Ligações com o que caiu em prova (não está no livro → só a ideia)</x:v>
      </x:c>
      <x:c r="C310"/>
    </x:row>
    <x:row r="311" ht="15" hidden="0" customHeight="1">
      <x:c r="A311" s="91" t="str">
        <x:v>Tópico</x:v>
      </x:c>
      <x:c r="B311" s="88" t="str">
        <x:v>• Sentido de l: da superfície para a luz (7.2.2). Invertido ⇒ n·l &lt; 0 ⇒ max zera ⇒ faces pretas.</x:v>
      </x:c>
      <x:c r="C311"/>
    </x:row>
    <x:row r="312" ht="15" hidden="0" customHeight="1">
      <x:c r="A312" s="91" t="str">
        <x:v>Tópico</x:v>
      </x:c>
      <x:c r="B312" s="88" t="str">
        <x:v>• Cubo com arestas vivas: normal da face em cada vértice (flat, 7.3.1) é o correto; normais médias arredondam.</x:v>
      </x:c>
      <x:c r="C312"/>
    </x:row>
    <x:row r="313" ht="15" hidden="0" customHeight="1">
      <x:c r="A313" s="91" t="str">
        <x:v>Tópico</x:v>
      </x:c>
      <x:c r="B313" s="88" t="str">
        <x:v>• Normal ao girar o objeto: transformar também as normais (normal matrix) e renormalizar.</x:v>
      </x:c>
      <x:c r="C313"/>
    </x:row>
    <x:row r="314" ht="15" hidden="0" customHeight="1">
      <x:c r="A314" s="101" t="str">
        <x:v>Seção</x:v>
      </x:c>
      <x:c r="B314" s="101" t="str">
        <x:v>Anexo 🚫 fora do escopo (7.2.5–7.2.8)</x:v>
      </x:c>
      <x:c r="C314"/>
    </x:row>
    <x:row r="315" ht="15" hidden="0" customHeight="1">
      <x:c r="A315" s="91" t="str">
        <x:v>Tópico</x:v>
      </x:c>
      <x:c r="B315" s="88" t="str">
        <x:v>• 7.2.5 Aproximação de Blinn: h = (l+v)/|l+v|, usa (n·h)^β no lugar de (r·v)^α (evita calcular r); β ≈ 4α dá brilho parecido.</x:v>
      </x:c>
      <x:c r="C315"/>
    </x:row>
    <x:row r="316" ht="15" hidden="0" customHeight="1">
      <x:c r="A316" s="91" t="str">
        <x:v>Tópico</x:v>
      </x:c>
      <x:c r="B316" s="88" t="str">
        <x:v>• 7.2.6 Atenuação: dividir difusa+especular por a + b·d + c·d²; ambiente não atenua. ≠ depth cueing (cap. 8).</x:v>
      </x:c>
      <x:c r="C316"/>
    </x:row>
    <x:row r="317" ht="15" hidden="0" customHeight="1">
      <x:c r="A317" s="91" t="str">
        <x:v>Tópico</x:v>
      </x:c>
      <x:c r="B317" s="88" t="str">
        <x:v>• 7.2.7 Luz/materiais cromáticos: aplicar o modelo em cada canal RGB.</x:v>
      </x:c>
      <x:c r="C317"/>
    </x:row>
    <x:row r="318" ht="15" hidden="0" customHeight="1">
      <x:c r="A318" s="91" t="str">
        <x:v>Tópico</x:v>
      </x:c>
      <x:c r="B318" s="88" t="str">
        <x:v>• 7.2.8 Várias fontes: somar as contribuições (luz é aditiva).</x:v>
      </x:c>
      <x:c r="C318"/>
    </x:row>
    <x:row r="319" ht="15" hidden="0" customHeight="1">
      <x:c r="A319" s="106" t="str">
        <x:v>Seção</x:v>
      </x:c>
      <x:c r="B319" s="106" t="str">
        <x:v>Cap. 8 — Discretização e texturas (livro p. 85–111 do PDF)</x:v>
      </x:c>
      <x:c r="C319"/>
    </x:row>
    <x:row r="320" ht="25.200000762939453" hidden="0" customHeight="1">
      <x:c r="A320" s="112" t="str">
        <x:v>Escopo</x:v>
      </x:c>
      <x:c r="B320" s="88" t="str">
        <x:v>Escopo da prova: só 8.3 (seções 2 e 3 abaixo). 🔗 Apoio: seção 1 (fragmento e interpolação) e seção 4 (aliasing). 🚫 Fora: Bresenham, scanline, Z-buffer, blending (no anexo).</x:v>
      </x:c>
      <x:c r="C320"/>
    </x:row>
    <x:row r="321" ht="15" hidden="0" customHeight="1">
      <x:c r="A321" s="112" t="str">
        <x:v>Escopo</x:v>
      </x:c>
      <x:c r="B321" s="88" t="str">
        <x:v>⚠ As páginas 152–153 do livro (início da filtragem de textura) não estão no PDF; o texto retoma em 8.3.4.2 (p. 154, mipmapping).</x:v>
      </x:c>
      <x:c r="C321"/>
    </x:row>
    <x:row r="322" ht="15" hidden="0" customHeight="1">
      <x:c r="A322" s="112" t="str">
        <x:v>Escopo</x:v>
      </x:c>
      <x:c r="B322" s="88" t="str">
        <x:v>Aparece em todas as provas: UV (3/3) e filtragem/mipmapping (3/3).</x:v>
      </x:c>
      <x:c r="C322"/>
    </x:row>
    <x:row r="323" ht="15" hidden="0" customHeight="1">
      <x:c r="A323" s="101" t="str">
        <x:v>Seção</x:v>
      </x:c>
      <x:c r="B323" s="101" t="str">
        <x:v>1. 🔗 Fragmento e interpolação (base de 8.3)</x:v>
      </x:c>
      <x:c r="C323"/>
    </x:row>
    <x:row r="324" ht="15" hidden="0" customHeight="1">
      <x:c r="A324" s="91" t="str">
        <x:v>Tópico</x:v>
      </x:c>
      <x:c r="B324" s="88" t="str">
        <x:v>• A rasterização amostra a primitiva e produz fragmentos = píxeis potenciais: posição (x,y), profundidade e cor (+ normal e coordenadas de textura).</x:v>
      </x:c>
      <x:c r="C324"/>
    </x:row>
    <x:row r="325" ht="25.200000762939453" hidden="0" customHeight="1">
      <x:c r="A325" s="91" t="str">
        <x:v>Tópico</x:v>
      </x:c>
      <x:c r="B325" s="88" t="str">
        <x:v>• Os atributos dos vértices (cor, normal, uv) são interpolados linearmente ao longo do polígono. É daí que vem o degradê "1 vértice verde + 5 vermelhos".</x:v>
      </x:c>
      <x:c r="C325"/>
    </x:row>
    <x:row r="326" ht="15" hidden="0" customHeight="1">
      <x:c r="A326" s="101" t="str">
        <x:v>Seção</x:v>
      </x:c>
      <x:c r="B326" s="101" t="str">
        <x:v>2. Cálculo de cor no fragmento (8.3.1–8.3.3)</x:v>
      </x:c>
      <x:c r="C326"/>
    </x:row>
    <x:row r="327" ht="15" hidden="0" customHeight="1">
      <x:c r="A327" s="91" t="str">
        <x:v>Tópico</x:v>
      </x:c>
      <x:c r="B327" s="88" t="str">
        <x:v>• Constante: mesma cor para todos os fragmentos da primitiva (cor do polígono, de um vértice ou média).</x:v>
      </x:c>
      <x:c r="C327"/>
    </x:row>
    <x:row r="328" ht="25.200000762939453" hidden="0" customHeight="1">
      <x:c r="A328" s="91" t="str">
        <x:v>Tópico</x:v>
      </x:c>
      <x:c r="B328" s="88" t="str">
        <x:v>• Gouraud: iluminação (Blinn-Phong) já calculada nos vértices, no processamento geométrico; fragmentos recebem a cor interpolada; o andar de cor só repassa.</x:v>
      </x:c>
      <x:c r="C328"/>
    </x:row>
    <x:row r="329" ht="25.200000762939453" hidden="0" customHeight="1">
      <x:c r="A329" s="91" t="str">
        <x:v>Tópico</x:v>
      </x:c>
      <x:c r="B329" s="88" t="str">
        <x:v>• Phong: fragmentos recebem a normal interpolada; o andar de cor aplica o modelo de reflexão em cada fragmento. Nº de cálculos = nº de fragmentos (Gouraud: nº de vértices) → mais caro, melhor.</x:v>
      </x:c>
      <x:c r="C329"/>
    </x:row>
    <x:row r="330" ht="15" hidden="0" customHeight="1">
      <x:c r="A330" s="101" t="str">
        <x:v>Seção</x:v>
      </x:c>
      <x:c r="B330" s="101" t="str">
        <x:v>3. Texturização (8.3.4)</x:v>
      </x:c>
      <x:c r="C330"/>
    </x:row>
    <x:row r="331" ht="15" hidden="0" customHeight="1">
      <x:c r="A331" s="91" t="str">
        <x:v>Tópico</x:v>
      </x:c>
      <x:c r="B331" s="88" t="str">
        <x:v>• Textura = imagem de texels; espaço (s,t) ∈ [0,1]², independente da resolução. Pode ser 1D, 2D ou 3D. Usada para cor, rugosidade, reflexos.</x:v>
      </x:c>
      <x:c r="C331"/>
    </x:row>
    <x:row r="332" ht="25.200000762939453" hidden="0" customHeight="1">
      <x:c r="A332" s="91" t="str">
        <x:v>Tópico</x:v>
      </x:c>
      <x:c r="B332" s="88" t="str">
        <x:v>• Mapeamento direto (textura → objeto no mundo) × inverso (espaço do dispositivo → textura). O pipeline faz inverso: o fragmento calcula (s,t) e busca o texel.</x:v>
      </x:c>
      <x:c r="C332"/>
    </x:row>
    <x:row r="333" ht="15" hidden="0" customHeight="1">
      <x:c r="A333" s="91" t="str">
        <x:v>Tópico</x:v>
      </x:c>
      <x:c r="B333" s="88" t="str">
        <x:v>• Em perspetiva o quadrado vira trapézio (encurtamento perspetivo): a textura deforma.</x:v>
      </x:c>
      <x:c r="C333"/>
    </x:row>
    <x:row r="334" ht="25.200000762939453" hidden="0" customHeight="1">
      <x:c r="A334" s="91" t="str">
        <x:v>Tópico</x:v>
      </x:c>
      <x:c r="B334" s="88" t="str">
        <x:v>• ⚠ Não está no livro: para não distorcer, (s,t) devem ser interpolados com correção de perspetiva (interpolar s/w, t/w, 1/w e dividir). Ligação com 7.3.4.</x:v>
      </x:c>
      <x:c r="C334"/>
    </x:row>
    <x:row r="335" ht="15" hidden="0" customHeight="1">
      <x:c r="A335" s="91" t="str">
        <x:v>Tópico</x:v>
      </x:c>
      <x:c r="B335" s="88" t="str">
        <x:v>• ⚠ Não está no livro: coordenadas &gt; 1 com REPEAT repetem a textura (nº de repetições = extensão do intervalo de uv).</x:v>
      </x:c>
      <x:c r="C335"/>
    </x:row>
    <x:row r="336" ht="15" hidden="0" customHeight="1">
      <x:c r="A336" s="111" t="str">
        <x:v>Seção</x:v>
      </x:c>
      <x:c r="B336" s="111" t="str">
        <x:v>3.1 Filtragem (8.3.4.2)</x:v>
      </x:c>
      <x:c r="C336"/>
    </x:row>
    <x:row r="337" ht="15" hidden="0" customHeight="1">
      <x:c r="A337" s="91" t="str">
        <x:v>Tópico</x:v>
      </x:c>
      <x:c r="B337" s="88" t="str">
        <x:v>• Minificação (objeto longe, vários texels por píxel): usar 1 texel ⇒ ruído/aliasing. Solução: média ponderada dos texels cobertos (filtro 2×2 é comum).</x:v>
      </x:c>
      <x:c r="C337"/>
    </x:row>
    <x:row r="338" ht="25.200000762939453" hidden="0" customHeight="1">
      <x:c r="A338" s="91" t="str">
        <x:v>Tópico</x:v>
      </x:c>
      <x:c r="B338" s="88" t="str">
        <x:v>• Mipmapping (multum in parvo), p. 154: pré-filtragem — cadeia de cópias com metade da resolução até 1×1; o sistema escolhe a cópia cuja resolução mais se aproxima do tamanho do objeto na tela; filtro trilinear.</x:v>
      </x:c>
      <x:c r="C338"/>
    </x:row>
    <x:row r="339" ht="15" hidden="0" customHeight="1">
      <x:c r="A339" s="91" t="str">
        <x:v>Tópico</x:v>
      </x:c>
      <x:c r="B339" s="88" t="str">
        <x:v>• ⚠ Não está no livro: trilinear = bilinear em 2 níveis + interpolação entre eles; em superfícies oblíquas o nível único borra ⇒ filtragem anisotrópica.</x:v>
      </x:c>
      <x:c r="C339"/>
    </x:row>
    <x:row r="340" ht="15" hidden="0" customHeight="1">
      <x:c r="A340" s="91" t="str">
        <x:v>Tópico</x:v>
      </x:c>
      <x:c r="B340" s="88" t="str">
        <x:v>• ⚠ Magnificação (poucos texels): NEAREST = blocos; bilinear = suave.</x:v>
      </x:c>
      <x:c r="C340"/>
    </x:row>
    <x:row r="341" ht="15" hidden="0" customHeight="1">
      <x:c r="A341" s="111" t="str">
        <x:v>Seção</x:v>
      </x:c>
      <x:c r="B341" s="111" t="str">
        <x:v>3.2 Técnicas por textura (8.3.4.3–8.3.4.4)</x:v>
      </x:c>
      <x:c r="C341"/>
    </x:row>
    <x:row r="342" ht="15" hidden="0" customHeight="1">
      <x:c r="A342" s="91" t="str">
        <x:v>Tópico</x:v>
      </x:c>
      <x:c r="B342" s="88" t="str">
        <x:v>• Bump mapping: 2ª textura em tons de cinza (height map); o gradiente perturba as normais locais; não altera a geometria, só a iluminação.</x:v>
      </x:c>
      <x:c r="C342"/>
    </x:row>
    <x:row r="343" ht="15" hidden="0" customHeight="1">
      <x:c r="A343" s="91" t="str">
        <x:v>Tópico</x:v>
      </x:c>
      <x:c r="B343" s="88" t="str">
        <x:v>• Environment mapping: imagem do ambiente simula superfícies refletoras (aprox. barata vs ray tracing).</x:v>
      </x:c>
      <x:c r="C343"/>
    </x:row>
    <x:row r="344" ht="15" hidden="0" customHeight="1">
      <x:c r="A344" s="101" t="str">
        <x:v>Seção</x:v>
      </x:c>
      <x:c r="B344" s="101" t="str">
        <x:v>4. 🔗 Aliasing (8.5, só o conceito)</x:v>
      </x:c>
      <x:c r="C344"/>
    </x:row>
    <x:row r="345" ht="25.200000762939453" hidden="0" customHeight="1">
      <x:c r="A345" s="91" t="str">
        <x:v>Nota</x:v>
      </x:c>
      <x:c r="B345" s="88" t="str">
        <x:v>Discretizar um sinal contínuo perde informação (Nyquist: amostrar a ≥ 2× a frequência). Em CG: escada, texturas regulares "fundidas" ao longe. Aumentar a resolução não elimina. É o porquê do mipmapping (pré-filtragem). Outras técnicas: supersampling (pós-filtragem).</x:v>
      </x:c>
      <x:c r="C345"/>
    </x:row>
    <x:row r="346" ht="15" hidden="0" customHeight="1">
      <x:c r="A346" s="101" t="str">
        <x:v>Seção</x:v>
      </x:c>
      <x:c r="B346" s="101" t="str">
        <x:v>Anexo 🚫 fora do escopo</x:v>
      </x:c>
      <x:c r="C346"/>
    </x:row>
    <x:row r="347" ht="15" hidden="0" customHeight="1">
      <x:c r="A347" s="91" t="str">
        <x:v>Tópico</x:v>
      </x:c>
      <x:c r="B347" s="88" t="str">
        <x:v>• Bresenham: inteiros, ponto médio, d = 2Δy−Δx, incE = 2Δy, incNE = 2(Δy−Δx); 1º octante.</x:v>
      </x:c>
      <x:c r="C347"/>
    </x:row>
    <x:row r="348" ht="15" hidden="0" customHeight="1">
      <x:c r="A348" s="91" t="str">
        <x:v>Tópico</x:v>
      </x:c>
      <x:c r="B348" s="88" t="str">
        <x:v>• Polígonos (scanline): tabela de lados e de lados ativos, spans por pares, x += 1/m.</x:v>
      </x:c>
      <x:c r="C348"/>
    </x:row>
    <x:row r="349" ht="15" hidden="0" customHeight="1">
      <x:c r="A349" s="91" t="str">
        <x:v>Tópico</x:v>
      </x:c>
      <x:c r="B349" s="88" t="str">
        <x:v>• Z-buffer: se z_frag &lt; zbuf(x,y) escreve z e cor; só opacos.</x:v>
      </x:c>
      <x:c r="C349"/>
    </x:row>
    <x:row r="350" ht="15" hidden="0" customHeight="1">
      <x:c r="A350" s="91" t="str">
        <x:v>Tópico</x:v>
      </x:c>
      <x:c r="B350" s="88" t="str">
        <x:v>• Blending: C = α·C_src + (1−α)·C_dst; depth cueing C = f·C_obj + (1−f)·C_atm.</x:v>
      </x:c>
      <x:c r="C350"/>
    </x:row>
    <x:row r="351" ht="15" hidden="0" customHeight="1">
      <x:c r="A351" s="106" t="str">
        <x:v>Seção</x:v>
      </x:c>
      <x:c r="B351" s="106" t="str">
        <x:v>Computação Gráfica — P1: resumo teórico</x:v>
      </x:c>
      <x:c r="C351"/>
    </x:row>
    <x:row r="352" ht="15" hidden="0" customHeight="1">
      <x:c r="A352" s="91" t="str">
        <x:v>Nota</x:v>
      </x:c>
      <x:c r="B352" s="88" t="str">
        <x:v>Escopo: cap. 2 (2.2–2.6), 3 (3.1–3.5), 5, 7 (7.1, 7.2.1–7.2.3, 7.3), 8.3. Convenção: OpenGL (câmera olha para −z, NDC em [−1, 1]).</x:v>
      </x:c>
      <x:c r="C352"/>
    </x:row>
    <x:row r="353" ht="15" hidden="0" customHeight="1">
      <x:c r="A353" s="91" t="str">
        <x:v>Nota</x:v>
      </x:c>
      <x:c r="B353" s="88" t="str">
        <x:v>Marcas: [R] caiu nas 3 provas · [2/3] caiu em 2 · [1/3] caiu em 1.</x:v>
      </x:c>
      <x:c r="C353"/>
    </x:row>
    <x:row r="354" ht="15" hidden="0" customHeight="1">
      <x:c r="A354" s="101" t="str">
        <x:v>Seção</x:v>
      </x:c>
      <x:c r="B354" s="101" t="str">
        <x:v>1. Arquitetura e pipeline (cap. 2.2–2.6)</x:v>
      </x:c>
      <x:c r="C354"/>
    </x:row>
    <x:row r="355" ht="15" hidden="0" customHeight="1">
      <x:c r="A355" s="91" t="str">
        <x:v>Tópico</x:v>
      </x:c>
      <x:c r="B355" s="88" t="str">
        <x:v>• Placa raster = 3 blocos: GPU (gera a imagem), framebuffer (guarda os píxeis), controlador de vídeo (lê o framebuffer e envia ao monitor).</x:v>
      </x:c>
      <x:c r="C355"/>
    </x:row>
    <x:row r="356" ht="25.200000762939453" hidden="0" customHeight="1">
      <x:c r="A356" s="91" t="str">
        <x:v>Tópico</x:v>
      </x:c>
      <x:c r="B356" s="88" t="str">
        <x:v>• Profundidade do píxel (bits/píxel) define as cores simultâneas: true color 24 bits (16 M) × cor indexada (índice + lookup table, poucas cores, menos memória).</x:v>
      </x:c>
      <x:c r="C356"/>
    </x:row>
    <x:row r="357" ht="15" hidden="0" customHeight="1">
      <x:c r="A357" s="91" t="str">
        <x:v>Tópico</x:v>
      </x:c>
      <x:c r="B357" s="88" t="str">
        <x:v>• Double/triple buffering evitam tearing; sincronizar FPS × frequência do monitor.</x:v>
      </x:c>
      <x:c r="C357"/>
    </x:row>
    <x:row r="358" ht="15" hidden="0" customHeight="1">
      <x:c r="A358" s="91" t="str">
        <x:v>Tópico</x:v>
      </x:c>
      <x:c r="B358" s="88" t="str">
        <x:v>• Cena = objetos (geometria + atributos) + luzes. Atributos: cor por vértice, material (modelo de iluminação) ou textura.</x:v>
      </x:c>
      <x:c r="C358"/>
    </x:row>
    <x:row r="359" ht="15" hidden="0" customHeight="1">
      <x:c r="A359" s="91" t="str">
        <x:v>Tópico</x:v>
      </x:c>
      <x:c r="B359" s="88" t="str">
        <x:v>• Janela de visualização = o que se captura da cena; viewport = onde se desenha no ecrã. Mesma relação de aspeto, senão distorce.</x:v>
      </x:c>
      <x:c r="C359"/>
    </x:row>
    <x:row r="360" ht="25.200000762939453" hidden="0" customHeight="1">
      <x:c r="A360" s="91" t="str">
        <x:v>Tópico</x:v>
      </x:c>
      <x:c r="B360" s="88" t="str">
        <x:v>• Pipeline (ordem): aplicação → visualização → iluminação nos vértices → projeção → recorte → viewport → rasterização → cor do fragmento → composição.</x:v>
      </x:c>
      <x:c r="C360"/>
    </x:row>
    <x:row r="361" ht="15" hidden="0" customHeight="1">
      <x:c r="A361" s="91" t="str">
        <x:v>Tópico</x:v>
      </x:c>
      <x:c r="B361" s="88" t="str">
        <x:v>• Processamento geométrico (vértices) + discretização (píxeis). O gargalo é a discretização.</x:v>
      </x:c>
      <x:c r="C361"/>
    </x:row>
    <x:row r="362" ht="15" hidden="0" customHeight="1">
      <x:c r="A362" s="91" t="str">
        <x:v>Tópico</x:v>
      </x:c>
      <x:c r="B362" s="88" t="str">
        <x:v>• Pipeline = rápido e aproximado (tempo real). Ray tracing = fotorrealista e lento.</x:v>
      </x:c>
      <x:c r="C362"/>
    </x:row>
    <x:row r="363" ht="15" hidden="0" customHeight="1">
      <x:c r="A363" s="101" t="str">
        <x:v>Seção</x:v>
      </x:c>
      <x:c r="B363" s="101" t="str">
        <x:v>2. Transformações (cap. 3.1–3.5)</x:v>
      </x:c>
      <x:c r="C363"/>
    </x:row>
    <x:row r="364" ht="15" hidden="0" customHeight="1">
      <x:c r="A364" s="91" t="str">
        <x:v>Tópico</x:v>
      </x:c>
      <x:c r="B364" s="88" t="str">
        <x:v>• Coordenadas homogêneas (x,y,z,1): fazem da translação uma multiplicação de matriz → tudo compõe em uma matriz M.</x:v>
      </x:c>
      <x:c r="C364"/>
    </x:row>
    <x:row r="365" ht="15" hidden="0" customHeight="1">
      <x:c r="A365" s="91" t="str">
        <x:v>Tópico</x:v>
      </x:c>
      <x:c r="B365" s="88" t="str">
        <x:v>• Translação e rotação preservam comprimentos e ângulos (corpo rígido); escala só preserva ângulos se uniforme.</x:v>
      </x:c>
      <x:c r="C365"/>
    </x:row>
    <x:row r="366" ht="15" hidden="0" customHeight="1">
      <x:c r="A366" s="91" t="str">
        <x:v>Tópico</x:v>
      </x:c>
      <x:c r="B366" s="88" t="str">
        <x:v>• Rotação e escala são relativas à ORIGEM. Para girar/escalar em torno do centro C do objeto: T(C) · R · T(−C).</x:v>
      </x:c>
      <x:c r="C366"/>
    </x:row>
    <x:row r="367" ht="15" hidden="0" customHeight="1">
      <x:c r="A367" s="91" t="str">
        <x:v>Tópico</x:v>
      </x:c>
      <x:c r="B367" s="88" t="str">
        <x:v>• Composição: M = T₃·T₂·T₁ — o primeiro passo fica à direita. Não é comutativa (a ordem muda o resultado).</x:v>
      </x:c>
      <x:c r="C367"/>
    </x:row>
    <x:row r="368" ht="15" hidden="0" customHeight="1">
      <x:c r="A368" s="91" t="str">
        <x:v>Tópico</x:v>
      </x:c>
      <x:c r="B368" s="88" t="str">
        <x:v>• Inversas: T(−d), S(1/s), R(−θ) = Rᵀ.</x:v>
      </x:c>
      <x:c r="C368"/>
    </x:row>
    <x:row r="369" ht="15" hidden="0" customHeight="1">
      <x:c r="A369" s="101" t="str">
        <x:v>Seção</x:v>
      </x:c>
      <x:c r="B369" s="101" t="str">
        <x:v>3. Câmera, projeção e recorte (cap. 5) [R]</x:v>
      </x:c>
      <x:c r="C369"/>
    </x:row>
    <x:row r="370" ht="15" hidden="0" customHeight="1">
      <x:c r="A370" s="91" t="str">
        <x:v>Tópico</x:v>
      </x:c>
      <x:c r="B370" s="88" t="str">
        <x:v>• Câmera virtual: posição (eye), target (ou vetor de visão), Up; define a base uvn (n = direção de visão). Up não pode ser paralelo à direção de visão.</x:v>
      </x:c>
      <x:c r="C370"/>
    </x:row>
    <x:row r="371" ht="15" hidden="0" customHeight="1">
      <x:c r="A371" s="91" t="str">
        <x:v>Tópico</x:v>
      </x:c>
      <x:c r="B371" s="88" t="str">
        <x:v>• Volume de visualização: ortogonal = paralelepípedo (raios paralelos); perspetiva = frustum (ápice no olho). near/far limitam (near &gt; 0, far &gt; near).</x:v>
      </x:c>
      <x:c r="C371"/>
    </x:row>
    <x:row r="372" ht="15" hidden="0" customHeight="1">
      <x:c r="A372" s="91" t="str">
        <x:v>Tópico</x:v>
      </x:c>
      <x:c r="B372" s="88" t="str">
        <x:v>• FOV: abertura vertical ou horizontal; relaciona-se com a janela por tg(θ/2) = meia-altura / d e aspect = largura/altura. Reduzir o FOV = zoom.</x:v>
      </x:c>
      <x:c r="C372"/>
    </x:row>
    <x:row r="373" ht="15" hidden="0" customHeight="1">
      <x:c r="A373" s="91" t="str">
        <x:v>Tópico</x:v>
      </x:c>
      <x:c r="B373" s="88" t="str">
        <x:v>• Cadeia de espaços: modelo →(M)→ mundo →(View)→ câmera →(Projeção)→ clip →(÷w)→ NDC →(viewport)→ ecrã. MVP = P·V·M.</x:v>
      </x:c>
      <x:c r="C373"/>
    </x:row>
    <x:row r="374" ht="25.200000762939453" hidden="0" customHeight="1">
      <x:c r="A374" s="91" t="str">
        <x:v>Tópico</x:v>
      </x:c>
      <x:c r="B374" s="88" t="str">
        <x:v>• Perspetiva: após a projeção w ≠ 1; a divisão por w produz o encurtamento (distantes ficam menores; paralelismo não se mantém). O z não linear mantém a ordem de profundidade para o Z-buffer.</x:v>
      </x:c>
      <x:c r="C374"/>
    </x:row>
    <x:row r="375" ht="25.200000762939453" hidden="0" customHeight="1">
      <x:c r="A375" s="91" t="str">
        <x:v>Tópico</x:v>
      </x:c>
      <x:c r="B375" s="88" t="str">
        <x:v>• Recorte: ponto dentro se −w ≤ x,y,z ≤ w (NDC em [−1,1]). É feito antes da divisão; contra o plano near é obrigatório (senão pontos atrás da câmera reaparecem).</x:v>
      </x:c>
      <x:c r="C375"/>
    </x:row>
    <x:row r="376" ht="15" hidden="0" customHeight="1">
      <x:c r="A376" s="91" t="str">
        <x:v>Tópico</x:v>
      </x:c>
      <x:c r="B376" s="88" t="str">
        <x:v>• Resultado: dentro (todo visível) · parcial (recortado) · fora (rejeitado). z_ndc &gt; 1 = além do far; z_ndc &lt; −1 = antes do near; w ≤ 0 = atrás da câmera.</x:v>
      </x:c>
      <x:c r="C376"/>
    </x:row>
    <x:row r="377" ht="15" hidden="0" customHeight="1">
      <x:c r="A377" s="91" t="str">
        <x:v>Tópico</x:v>
      </x:c>
      <x:c r="B377" s="88" t="str">
        <x:v>• Viewport: converte NDC [−1,1] em píxeis; o z mantém-se.</x:v>
      </x:c>
      <x:c r="C377"/>
    </x:row>
    <x:row r="378" ht="15" hidden="0" customHeight="1">
      <x:c r="A378" s="101" t="str">
        <x:v>Seção</x:v>
      </x:c>
      <x:c r="B378" s="101" t="str">
        <x:v>4. Iluminação e sombreamento (cap. 7)</x:v>
      </x:c>
      <x:c r="C378"/>
    </x:row>
    <x:row r="379" ht="15" hidden="0" customHeight="1">
      <x:c r="A379" s="91" t="str">
        <x:v>Tópico</x:v>
      </x:c>
      <x:c r="B379" s="88" t="str">
        <x:v>• Fontes: ambiente (sem posição/direção) · direcional (no infinito, sem atenuação) · pontual (atenua com a distância) · spotlight (cone).</x:v>
      </x:c>
      <x:c r="C379"/>
    </x:row>
    <x:row r="380" ht="15" hidden="0" customHeight="1">
      <x:c r="A380" s="91" t="str">
        <x:v>Tópico</x:v>
      </x:c>
      <x:c r="B380" s="88" t="str">
        <x:v>• Modelo local: só luz direta; sem sombras nem reflexões múltiplas. A ambiente aproxima essas reflexões (sem ela, o que não recebe luz fica preto).</x:v>
      </x:c>
      <x:c r="C380"/>
    </x:row>
    <x:row r="381" ht="15" hidden="0" customHeight="1">
      <x:c r="A381" s="91" t="str">
        <x:v>Tópico</x:v>
      </x:c>
      <x:c r="B381" s="88" t="str">
        <x:v>• Difusa (Lambert) [1/3]: kd·Ld·max(n·l,0); não depende do observador; l vai da superfície para a luz (invertido ⇒ faces pretas).</x:v>
      </x:c>
      <x:c r="C381"/>
    </x:row>
    <x:row r="382" ht="15" hidden="0" customHeight="1">
      <x:c r="A382" s="91" t="str">
        <x:v>Tópico</x:v>
      </x:c>
      <x:c r="B382" s="88" t="str">
        <x:v>• Especular: ks·Ls·max(r·v,0)^α; depende do observador; α alto = brilho pequeno e concentrado (superfície polida).</x:v>
      </x:c>
      <x:c r="C382"/>
    </x:row>
    <x:row r="383" ht="15" hidden="0" customHeight="1">
      <x:c r="A383" s="91" t="str">
        <x:v>Tópico</x:v>
      </x:c>
      <x:c r="B383" s="88" t="str">
        <x:v>• Sombreamento [2/3]:</x:v>
      </x:c>
      <x:c r="C383"/>
    </x:row>
    <x:row r="384" ht="15" hidden="0" customHeight="1">
      <x:c r="A384" s="91" t="str">
        <x:v>Tabela</x:v>
      </x:c>
      <x:c r="B384" s="88" t="str">
        <x:v>| Constante | Gouraud | Phong</x:v>
      </x:c>
      <x:c r="C384"/>
    </x:row>
    <x:row r="385" ht="15" hidden="0" customHeight="1">
      <x:c r="A385" s="91" t="str">
        <x:v>Tabela</x:v>
      </x:c>
      <x:c r="B385" s="88" t="str">
        <x:v>Ilumina | 1× por polígono | por vértice | por fragmento</x:v>
      </x:c>
      <x:c r="C385"/>
    </x:row>
    <x:row r="386" ht="15" hidden="0" customHeight="1">
      <x:c r="A386" s="91" t="str">
        <x:v>Tabela</x:v>
      </x:c>
      <x:c r="B386" s="88" t="str">
        <x:v>Interpola | — | a cor | a normal</x:v>
      </x:c>
      <x:c r="C386"/>
    </x:row>
    <x:row r="387" ht="15" hidden="0" customHeight="1">
      <x:c r="A387" s="91" t="str">
        <x:v>Tabela</x:v>
      </x:c>
      <x:c r="B387" s="88" t="str">
        <x:v>Resultado | facetado, bandas de Mach | liso, perde brilho especular | brilhos corretos</x:v>
      </x:c>
      <x:c r="C387"/>
    </x:row>
    <x:row r="388" ht="15" hidden="0" customHeight="1">
      <x:c r="A388" s="91" t="str">
        <x:v>Tabela</x:v>
      </x:c>
      <x:c r="B388" s="88" t="str">
        <x:v>Custo | menor | médio | maior</x:v>
      </x:c>
      <x:c r="C388"/>
    </x:row>
    <x:row r="389" ht="25.200000762939453" hidden="0" customHeight="1">
      <x:c r="A389" s="91" t="str">
        <x:v>Tópico</x:v>
      </x:c>
      <x:c r="B389" s="88" t="str">
        <x:v>• Limitações do sombreamento interpolado: silhueta poligonal; distorção de perspetiva (interpola no ecrã); depende da orientação do polígono; vértices não partilhados; normais incorretas. Remédio: subdividir.</x:v>
      </x:c>
      <x:c r="C389"/>
    </x:row>
    <x:row r="390" ht="15" hidden="0" customHeight="1">
      <x:c r="A390" s="101" t="str">
        <x:v>Seção</x:v>
      </x:c>
      <x:c r="B390" s="101" t="str">
        <x:v>5. Cor do fragmento e texturas (cap. 8.3) [R]</x:v>
      </x:c>
      <x:c r="C390"/>
    </x:row>
    <x:row r="391" ht="25.200000762939453" hidden="0" customHeight="1">
      <x:c r="A391" s="91" t="str">
        <x:v>Tópico</x:v>
      </x:c>
      <x:c r="B391" s="88" t="str">
        <x:v>• Fragmento = píxel potencial (posição, profundidade, cor/normal/uv). A rasterização interpola linearmente os atributos dos vértices — por isso 1 vértice verde entre vermelhos dá degradê.</x:v>
      </x:c>
      <x:c r="C391"/>
    </x:row>
    <x:row r="392" ht="15" hidden="0" customHeight="1">
      <x:c r="A392" s="91" t="str">
        <x:v>Tópico</x:v>
      </x:c>
      <x:c r="B392" s="88" t="str">
        <x:v>• Constante/Gouraud/Phong aplicados ao fragmento: Gouraud = cor interpolada; Phong = normal interpolada + iluminação por fragmento.</x:v>
      </x:c>
      <x:c r="C392"/>
    </x:row>
    <x:row r="393" ht="25.200000762939453" hidden="0" customHeight="1">
      <x:c r="A393" s="91" t="str">
        <x:v>Tópico</x:v>
      </x:c>
      <x:c r="B393" s="88" t="str">
        <x:v>• Textura: imagem de texels com coordenadas (s,t) ∈ [0,1]²; cada vértice guarda o seu (s,t) e o rasterizador interpola. Mapeamento inverso: fragmento → texel.</x:v>
      </x:c>
      <x:c r="C393"/>
    </x:row>
    <x:row r="394" ht="15" hidden="0" customHeight="1">
      <x:c r="A394" s="91" t="str">
        <x:v>Tópico</x:v>
      </x:c>
      <x:c r="B394" s="88" t="str">
        <x:v>• Em perspetiva o quadrado vira trapézio (encurtamento perspetivo).</x:v>
      </x:c>
      <x:c r="C394"/>
    </x:row>
    <x:row r="395" ht="15" hidden="0" customHeight="1">
      <x:c r="A395" s="91" t="str">
        <x:v>Tópico</x:v>
      </x:c>
      <x:c r="B395" s="88" t="str">
        <x:v>• Vértices com UV diferentes por face são duplicados (cubo: 24 vértices).</x:v>
      </x:c>
      <x:c r="C395"/>
    </x:row>
    <x:row r="396" ht="15" hidden="0" customHeight="1">
      <x:c r="A396" s="91" t="str">
        <x:v>Tópico</x:v>
      </x:c>
      <x:c r="B396" s="88" t="str">
        <x:v>• Minificação (objeto longe): vários texels por píxel. Usar 1 texel ⇒ aliasing (ruído, cintilação, texturas "fundidas"); a solução é média ponderada.</x:v>
      </x:c>
      <x:c r="C396"/>
    </x:row>
    <x:row r="397" ht="25.200000762939453" hidden="0" customHeight="1">
      <x:c r="A397" s="91" t="str">
        <x:v>Tópico</x:v>
      </x:c>
      <x:c r="B397" s="88" t="str">
        <x:v>• Mipmapping [R]: pré-filtragem — cópias com metade da resolução até 1×1; escolhe-se o nível mais próximo do tamanho na tela. Trilinear interpola entre níveis. Mais rápido que filtrar na hora; +33 % de memória.</x:v>
      </x:c>
      <x:c r="C397"/>
    </x:row>
    <x:row r="398" ht="25.200000762939453" hidden="0" customHeight="1">
      <x:c r="A398" s="91" t="str">
        <x:v>Tópico</x:v>
      </x:c>
      <x:c r="B398" s="88" t="str">
        <x:v>• Bump mapping [1/3]: mapa de altura (cinza) perturba as normais locais; não muda a geometria, só a iluminação. Environment mapping: imagem do ambiente simula reflexos.</x:v>
      </x:c>
      <x:c r="C398"/>
    </x:row>
    <x:row r="399" ht="25.200000762939453" hidden="0" customHeight="1">
      <x:c r="A399" s="91" t="str">
        <x:v>Tópico</x:v>
      </x:c>
      <x:c r="B399" s="88" t="str">
        <x:v>• Aliasing: discretizar perde informação (Nyquist: amostrar ≥ 2× a frequência); aumentar a resolução não elimina. Pré-filtragem e supersampling reduzem.</x:v>
      </x:c>
      <x:c r="C399"/>
    </x:row>
    <x:row r="400" ht="15" hidden="0" customHeight="1">
      <x:c r="A400" s="101" t="str">
        <x:v>Seção</x:v>
      </x:c>
      <x:c r="B400" s="101" t="str">
        <x:v>6. Perguntas-tipo (o professor pede "por quê" + "solução")</x:v>
      </x:c>
      <x:c r="C400"/>
    </x:row>
    <x:row r="401" ht="15" hidden="0" customHeight="1">
      <x:c r="A401" s="91" t="str">
        <x:v>Tabela</x:v>
      </x:c>
      <x:c r="B401" s="88" t="str">
        <x:v>Pergunta | Resposta objetiva</x:v>
      </x:c>
      <x:c r="C401"/>
    </x:row>
    <x:row r="402" ht="25.200000762939453" hidden="0" customHeight="1">
      <x:c r="A402" s="91" t="str">
        <x:v>Tabela</x:v>
      </x:c>
      <x:c r="B402" s="88" t="str">
        <x:v>Por que a textura fica borrada/ruidosa ao longe? | Minificação: muitos texels por píxel. Sem filtro ⇒ aliasing; com mipmapping ⇒ níveis baixos (borrão). Solução: mipmapping/trilinear; em superfícies oblíquas, filtragem anisotrópica ⚠.</x:v>
      </x:c>
      <x:c r="C402"/>
    </x:row>
    <x:row r="403" ht="25.200000762939453" hidden="0" customHeight="1">
      <x:c r="A403" s="91" t="str">
        <x:v>Tabela</x:v>
      </x:c>
      <x:c r="B403" s="88" t="str">
        <x:v>Por que dois planos iguais ficam diferentes? | Onde a luz é calculada: Gouraud (vértices) perde o brilho; Phong (fragmento) ou malha mais fina o reproduz.</x:v>
      </x:c>
      <x:c r="C403"/>
    </x:row>
    <x:row r="404" ht="15" hidden="0" customHeight="1">
      <x:c r="A404" s="91" t="str">
        <x:v>Tabela</x:v>
      </x:c>
      <x:c r="B404" s="88" t="str">
        <x:v>Cubo com faces pretas/aberração | Vetor da luz com sinal errado (l deve ir da superfície para a luz); normais não transformadas/normalizadas.</x:v>
      </x:c>
      <x:c r="C404"/>
    </x:row>
    <x:row r="405" ht="25.200000762939453" hidden="0" customHeight="1">
      <x:c r="A405" s="91" t="str">
        <x:v>Tabela</x:v>
      </x:c>
      <x:c r="B405" s="88" t="str">
        <x:v>Por que 1 vértice verde + 5 vermelhos dá degradê? | Interpolação linear dos atributos. Para áreas uniformes: vértices duplicados com a mesma cor (ou flat) ⚠.</x:v>
      </x:c>
      <x:c r="C405"/>
    </x:row>
    <x:row r="406" ht="25.200000762939453" hidden="0" customHeight="1">
      <x:c r="A406" s="91" t="str">
        <x:v>Tabela</x:v>
      </x:c>
      <x:c r="B406" s="88" t="str">
        <x:v>Como dar UV a um cubo/dado/cena? | (s,t) por vértice no intervalo da célula da textura; repetir = ir além de 1 com REPEAT ⚠; vértices por face duplicados.</x:v>
      </x:c>
      <x:c r="C406"/>
    </x:row>
    <x:row r="407" ht="15" hidden="0" customHeight="1">
      <x:c r="A407" s="91" t="str">
        <x:v>Tabela</x:v>
      </x:c>
      <x:c r="B407" s="88" t="str">
        <x:v>Por que bump mapping melhora a imagem? | Perturba as normais com o gradiente do mapa de altura, sem aumentar a geometria.</x:v>
      </x:c>
      <x:c r="C407"/>
    </x:row>
    <x:row r="408" ht="15" hidden="0" customHeight="1">
      <x:c r="A408" s="91" t="str">
        <x:v>Tabela</x:v>
      </x:c>
      <x:c r="B408" s="88" t="str">
        <x:v>Objeto está visível? | Testa −w ≤ x,y,z ≤ w; indica qual plano (near/far/lados) falha e qual parâmetro da câmera ajustar.</x:v>
      </x:c>
      <x:c r="C408"/>
    </x:row>
    <x:row r="409" ht="15" hidden="0" customHeight="1">
      <x:c r="A409" s="91" t="str">
        <x:v>Nota</x:v>
      </x:c>
      <x:c r="B409" s="88" t="str">
        <x:v>⚠ = não está no livro (aula/prática). Baixa prioridade: basta a ideia.</x:v>
      </x:c>
      <x:c r="C409"/>
    </x:row>
    <x:row r="410" ht="15" hidden="0" customHeight="1">
      <x:c r="A410" s="106" t="str">
        <x:v>Seção</x:v>
      </x:c>
      <x:c r="B410" s="106" t="str">
        <x:v>Cards de estudo (pergunta → resposta)</x:v>
      </x:c>
      <x:c r="C410"/>
    </x:row>
    <x:row r="411" ht="25.200000762939453" hidden="0" customHeight="1">
      <x:c r="A411" s="91" t="str">
        <x:v>Nota</x:v>
      </x:c>
      <x:c r="B411" s="88" t="str">
        <x:v>Como usar: leia a pergunta, responda em voz alta/papel, só então abra a resposta (). Tags: 📘 livro · 📝 caiu em prova · ⚠ fora do livro · 🔥 prioridade.</x:v>
      </x:c>
      <x:c r="C411"/>
    </x:row>
    <x:row r="412" ht="37.79999923706055" hidden="0" customHeight="1">
      <x:c r="A412" s="91" t="str">
        <x:v>Nota</x:v>
      </x:c>
      <x:c r="B412" s="88" t="str">
        <x:v>Os cards estão ordenados por prioridade (recorrência nas provas × escopo); estude de cima para baixo. A regra de classificação está em e a classificação de cada card em . 🔗 = apoio (base conceitual de algo dentro do escopo; estude só a ideia). 🚫 = fora do escopo da prova (ver ): só leia se sobrar tempo.</x:v>
      </x:c>
      <x:c r="C412"/>
    </x:row>
    <x:row r="413" ht="15" hidden="0" customHeight="1">
      <x:c r="A413" s="101" t="str">
        <x:v>Seção</x:v>
      </x:c>
      <x:c r="B413" s="101" t="str">
        <x:v>🔴 Recorrência 3/3 (MVP e texturas) — dentro do livro (16)</x:v>
      </x:c>
      <x:c r="C413"/>
    </x:row>
    <x:row r="414" ht="15" hidden="0" customHeight="1">
      <x:c r="A414" s="114" t="str">
        <x:v>Resposta</x:v>
      </x:c>
      <x:c r="B414" s="88" t="str">
        <x:v>Para que translação vire multiplicação de matriz como rotação/escala → uma só matriz composta (M) para tudo.</x:v>
      </x:c>
      <x:c r="C414"/>
    </x:row>
    <x:row r="415" ht="15" hidden="0" customHeight="1">
      <x:c r="A415" s="114" t="str">
        <x:v>Resposta</x:v>
      </x:c>
      <x:c r="B415" s="88" t="str">
        <x:v>M = T₃·T₂·T₁ (primeiro aplicado fica à direita). Não é comutativa.</x:v>
      </x:c>
      <x:c r="C415"/>
    </x:row>
    <x:row r="416" ht="15" hidden="0" customHeight="1">
      <x:c r="A416" s="114" t="str">
        <x:v>Resposta</x:v>
      </x:c>
      <x:c r="B416" s="88" t="str">
        <x:v>T(C)·R(θ)·T(−C). Idem escala mantendo o centro: T(C)·S·T(−C).</x:v>
      </x:c>
      <x:c r="C416"/>
    </x:row>
    <x:row r="417" ht="15" hidden="0" customHeight="1">
      <x:c r="A417" s="114" t="str">
        <x:v>Resposta</x:v>
      </x:c>
      <x:c r="B417" s="88" t="str">
        <x:v>Rz: [cos −sen 0 0; sen cos 0 0; 0 0 1 0; 0 0 0 1]. T: identidade com (dx,dy,dz) na última coluna. S: diagonal (sx,sy,sz,1).</x:v>
      </x:c>
      <x:c r="C417"/>
    </x:row>
    <x:row r="418" ht="15" hidden="0" customHeight="1">
      <x:c r="A418" s="114" t="str">
        <x:v>Resposta</x:v>
      </x:c>
      <x:c r="B418" s="88" t="str">
        <x:v>MVP = P·V·M. Vértice passa por Model (mundo) → View (câmara) → Projection (clip). Depois ÷w → NDC → viewport.</x:v>
      </x:c>
      <x:c r="C418"/>
    </x:row>
    <x:row r="419" ht="15" hidden="0" customHeight="1">
      <x:c r="A419" s="114" t="str">
        <x:v>Resposta</x:v>
      </x:c>
      <x:c r="B419" s="88" t="str">
        <x:v>Posição (eye), target (ou vetor de visão), up; janela (FOV/aspect), near, far, tipo de projeção.</x:v>
      </x:c>
      <x:c r="C419"/>
    </x:row>
    <x:row r="420" ht="15" hidden="0" customHeight="1">
      <x:c r="A420" s="114" t="str">
        <x:v>Resposta</x:v>
      </x:c>
      <x:c r="B420" s="88" t="str">
        <x:v>f = norm(target − eye); s = norm(f × up); u = s × f; View: linhas s, u, −f e translação −s·eye, −u·eye, +f·eye (OpenGL).</x:v>
      </x:c>
      <x:c r="C420"/>
    </x:row>
    <x:row r="421" ht="15" hidden="0" customHeight="1">
      <x:c r="A421" s="114" t="str">
        <x:v>Resposta</x:v>
      </x:c>
      <x:c r="B421" s="88" t="str">
        <x:v>f=1/tan(fovy/2); diag (f/aspect, f, −(F+N)/(F−N)); P[2][3] = −2FN/(F−N); P[3][2] = −1.</x:v>
      </x:c>
      <x:c r="C421"/>
    </x:row>
    <x:row r="422" ht="15" hidden="0" customHeight="1">
      <x:c r="A422" s="114" t="str">
        <x:v>Resposta</x:v>
      </x:c>
      <x:c r="B422" s="88" t="str">
        <x:v>A última linha da matriz coloca z (câmera) em w. Dividir x,y,z por w produz NDC e o encurtamento perspetivo.</x:v>
      </x:c>
      <x:c r="C422"/>
    </x:row>
    <x:row r="423" ht="15" hidden="0" customHeight="1">
      <x:c r="A423" s="114" t="str">
        <x:v>Resposta</x:v>
      </x:c>
      <x:c r="B423" s="88" t="str">
        <x:v>−w ≤ x,y,z ≤ w (NDC em [−1,1] em OpenGL). Fora do near/far/laterais ⇒ cortado.</x:v>
      </x:c>
      <x:c r="C423"/>
    </x:row>
    <x:row r="424" ht="15" hidden="0" customHeight="1">
      <x:c r="A424" s="114" t="str">
        <x:v>Resposta</x:v>
      </x:c>
      <x:c r="B424" s="88" t="str">
        <x:v>Pontos com z&lt;0 e w&lt;0 viram, após ÷w, pontos "na frente" da câmera (reaparecem).</x:v>
      </x:c>
      <x:c r="C424"/>
    </x:row>
    <x:row r="425" ht="15" hidden="0" customHeight="1">
      <x:c r="A425" s="114" t="str">
        <x:v>Resposta</x:v>
      </x:c>
      <x:c r="B425" s="88" t="str">
        <x:v>tg(θv/2) = a/d, tg(θh/2) = ℓ/d; ℓ/a = aspect.</x:v>
      </x:c>
      <x:c r="C425"/>
    </x:row>
    <x:row r="426" ht="15" hidden="0" customHeight="1">
      <x:c r="A426" s="114" t="str">
        <x:v>Resposta</x:v>
      </x:c>
      <x:c r="B426" s="88" t="str">
        <x:v>a = 20·tg45 = 20 → altura 40, largura 53,3. Com 800 de largura → altura 600.</x:v>
      </x:c>
      <x:c r="C426"/>
    </x:row>
    <x:row r="427" ht="25.200000762939453" hidden="0" customHeight="1">
      <x:c r="A427" s="114" t="str">
        <x:v>Resposta</x:v>
      </x:c>
      <x:c r="B427" s="88" t="str">
        <x:v>Pirâmide de cópias com metade da resolução; escolhe o nível ≈ tamanho na tela. Trilinear: interpolação bilinear em 2 níveis + interpolação entre níveis (sem saltos).</x:v>
      </x:c>
      <x:c r="C427"/>
    </x:row>
    <x:row r="428" ht="15" hidden="0" customHeight="1">
      <x:c r="A428" s="114" t="str">
        <x:v>Resposta</x:v>
      </x:c>
      <x:c r="B428" s="88" t="str">
        <x:v>Mag: poucos texels para muitos píxeis → NEAREST (blocos)/bilinear (borrado). Min: muitos texels por píxel → aliasing → mipmap.</x:v>
      </x:c>
      <x:c r="C428"/>
    </x:row>
    <x:row r="429" ht="25.200000762939453" hidden="0" customHeight="1">
      <x:c r="A429" s="114" t="str">
        <x:v>Resposta</x:v>
      </x:c>
      <x:c r="B429" s="88" t="str">
        <x:v>Cada vértice guarda um par (s,t) ∈ [0,1]² (origem convencionada: canto inferior esquerdo). Face inteira: (0,0), (1,0), (1,1), (0,1). Com atlas (ex.: 4×3): u ∈ {0,¼,½,¾,1}, v ∈ {0,⅓,⅔,1}; cada face usa a sua célula. O rasterizador interpola (s,t) e cada fragmento busca o texel (mapeamento inverso).</x:v>
      </x:c>
      <x:c r="C429"/>
    </x:row>
    <x:row r="430" ht="15" hidden="0" customHeight="1">
      <x:c r="A430" s="101" t="str">
        <x:v>Seção</x:v>
      </x:c>
      <x:c r="B430" s="101" t="str">
        <x:v>🟠 Recorrência 2/3, ou 🔴 rebaixado por não estar no livro (5)</x:v>
      </x:c>
      <x:c r="C430"/>
    </x:row>
    <x:row r="431" ht="15" hidden="0" customHeight="1">
      <x:c r="A431" s="114" t="str">
        <x:v>Resposta</x:v>
      </x:c>
      <x:c r="B431" s="88" t="str">
        <x:v>Pegada alongada em superfícies oblíquas → nível muito baixo → borrão. Solução: filtragem anisotrópica (várias amostras no eixo maior).</x:v>
      </x:c>
      <x:c r="C431"/>
    </x:row>
    <x:row r="432" ht="15" hidden="0" customHeight="1">
      <x:c r="A432" s="114" t="str">
        <x:v>Resposta</x:v>
      </x:c>
      <x:c r="B432" s="88" t="str">
        <x:v>Cada face tem UVs distintos no mesmo vértice geométrico; o vértice no GPU é (posição + UV + normal…) ⇒ 24 vértices para o cubo.</x:v>
      </x:c>
      <x:c r="C432"/>
    </x:row>
    <x:row r="433" ht="25.200000762939453" hidden="0" customHeight="1">
      <x:c r="A433" s="114" t="str">
        <x:v>Resposta</x:v>
      </x:c>
      <x:c r="B433" s="88" t="str">
        <x:v>Constante: 1 cor/polígono. Gouraud: ilumina nos vértices, interpola cor. Phong: interpola normal, ilumina por fragmento. Qualidade e custo crescentes. Gouraud perde brilhos especulares; Phong correto mas caro.</x:v>
      </x:c>
      <x:c r="C433"/>
    </x:row>
    <x:row r="434" ht="15" hidden="0" customHeight="1">
      <x:c r="A434" s="114" t="str">
        <x:v>Resposta</x:v>
      </x:c>
      <x:c r="B434" s="88" t="str">
        <x:v>Atributos de vértice são interpolados pelo rasterizador. Para bloco uniforme: duplicar vértices e igualar cores, ou flat.</x:v>
      </x:c>
      <x:c r="C434"/>
    </x:row>
    <x:row r="435" ht="25.200000762939453" hidden="0" customHeight="1">
      <x:c r="A435" s="114" t="str">
        <x:v>Resposta</x:v>
      </x:c>
      <x:c r="B435" s="88" t="str">
        <x:v>Com REPEAT a textura se repete: nº de repetições = extensão do intervalo (uv de 0 a 4 ⇒ 4 repetições). CLAMP estica a borda. Num atlas, REPEAT repete o atlas inteiro. ⚠ não é do livro.</x:v>
      </x:c>
      <x:c r="C435"/>
    </x:row>
    <x:row r="436" ht="15" hidden="0" customHeight="1">
      <x:c r="A436" s="101" t="str">
        <x:v>Seção</x:v>
      </x:c>
      <x:c r="B436" s="101" t="str">
        <x:v>🟡 Recorrência 1/3, ou 🟠 rebaixado por não estar no livro (4)</x:v>
      </x:c>
      <x:c r="C436"/>
    </x:row>
    <x:row r="437" ht="25.200000762939453" hidden="0" customHeight="1">
      <x:c r="A437" s="114" t="str">
        <x:v>Resposta</x:v>
      </x:c>
      <x:c r="B437" s="88" t="str">
        <x:v>Silhueta poligonal; distorção de perspetiva (interpola no ecrã); dependência da orientação do polígono; vértices não partilhados; normais incorretas → falso alisamento.</x:v>
      </x:c>
      <x:c r="C437"/>
    </x:row>
    <x:row r="438" ht="15" hidden="0" customHeight="1">
      <x:c r="A438" s="114" t="str">
        <x:v>Resposta</x:v>
      </x:c>
      <x:c r="B438" s="88" t="str">
        <x:v>Da superfície para a luz: L = normalize(lightPos − fragPos). Invertido ⇒ n·L&lt;0 ⇒ faces pretas.</x:v>
      </x:c>
      <x:c r="C438"/>
    </x:row>
    <x:row r="439" ht="15" hidden="0" customHeight="1">
      <x:c r="A439" s="114" t="str">
        <x:v>Resposta</x:v>
      </x:c>
      <x:c r="B439" s="88" t="str">
        <x:v>24 vértices (4 por face) com a normal da face → flat correto. Compartilhar 8 vértices com normal média arredonda o cubo.</x:v>
      </x:c>
      <x:c r="C439"/>
    </x:row>
    <x:row r="440" ht="15" hidden="0" customHeight="1">
      <x:c r="A440" s="114" t="str">
        <x:v>Resposta</x:v>
      </x:c>
      <x:c r="B440" s="88" t="str">
        <x:v>Bump: perturba normais por um height map (geometria não muda). Environment: textura do ambiente simula reflexos.</x:v>
      </x:c>
      <x:c r="C440"/>
    </x:row>
    <x:row r="441" ht="15" hidden="0" customHeight="1">
      <x:c r="A441" s="101" t="str">
        <x:v>Seção</x:v>
      </x:c>
      <x:c r="B441" s="101" t="str">
        <x:v>⚪ Nunca caiu (teoria base) ou rebaixado ao mínimo (19)</x:v>
      </x:c>
      <x:c r="C441"/>
    </x:row>
    <x:row r="442" ht="15" hidden="0" customHeight="1">
      <x:c r="A442" s="114" t="str">
        <x:v>Resposta</x:v>
      </x:c>
      <x:c r="B442" s="88" t="str">
        <x:v>T(−d), S(1/s), R(−θ)=Rᵀ.</x:v>
      </x:c>
      <x:c r="C442"/>
    </x:row>
    <x:row r="443" ht="15" hidden="0" customHeight="1">
      <x:c r="A443" s="114" t="str">
        <x:v>Resposta</x:v>
      </x:c>
      <x:c r="B443" s="88" t="str">
        <x:v>Translação e rotação (corpo rígido). Escala uniforme preserva ângulos; não uniforme distorce.</x:v>
      </x:c>
      <x:c r="C443"/>
    </x:row>
    <x:row r="444" ht="15" hidden="0" customHeight="1">
      <x:c r="A444" s="114" t="str">
        <x:v>Resposta</x:v>
      </x:c>
      <x:c r="B444" s="88" t="str">
        <x:v>near=0 ⇒ singularidade (divisão por 0); far finito evita desperdício com objetos minúsculos e dá precisão ao z-buffer.</x:v>
      </x:c>
      <x:c r="C444"/>
    </x:row>
    <x:row r="445" ht="15" hidden="0" customHeight="1">
      <x:c r="A445" s="114" t="str">
        <x:v>Resposta</x:v>
      </x:c>
      <x:c r="B445" s="88" t="str">
        <x:v>Paralelepípedo (raios paralelos, sem encurtamento) × frustum (ápice no olho, objetos distantes menores).</x:v>
      </x:c>
      <x:c r="C445"/>
    </x:row>
    <x:row r="446" ht="15" hidden="0" customHeight="1">
      <x:c r="A446" s="114" t="str">
        <x:v>Resposta</x:v>
      </x:c>
      <x:c r="B446" s="88" t="str">
        <x:v>Para o Z-buffer ainda comparar profundidades; projeção "simples" perde a profundidade (não invertível).</x:v>
      </x:c>
      <x:c r="C446"/>
    </x:row>
    <x:row r="447" ht="15" hidden="0" customHeight="1">
      <x:c r="A447" s="114" t="str">
        <x:v>Resposta</x:v>
      </x:c>
      <x:c r="B447" s="88" t="str">
        <x:v>NDC [−1,1]→píxeis: T(xmin,ymin,0)·S(Δx/2,Δy/2,1)·T(1,1,0); z mantém.</x:v>
      </x:c>
      <x:c r="C447"/>
    </x:row>
    <x:row r="448" ht="15" hidden="0" customHeight="1">
      <x:c r="A448" s="114" t="str">
        <x:v>Resposta</x:v>
      </x:c>
      <x:c r="B448" s="88" t="str">
        <x:v>Direto: textura→objeto (mundo). Inverso: fragmento→texel (feito no pipeline).</x:v>
      </x:c>
      <x:c r="C448"/>
    </x:row>
    <x:row r="449" ht="15" hidden="0" customHeight="1">
      <x:c r="A449" s="114" t="str">
        <x:v>Resposta</x:v>
      </x:c>
      <x:c r="B449" s="88" t="str">
        <x:v>Normais não se transformam por M quando há escala não uniforme; usa-se transpose(inverse(M)) e renormaliza.</x:v>
      </x:c>
      <x:c r="C449"/>
    </x:row>
    <x:row r="450" ht="15" hidden="0" customHeight="1">
      <x:c r="A450" s="114" t="str">
        <x:v>Resposta</x:v>
      </x:c>
      <x:c r="B450" s="88" t="str">
        <x:v>Perspectiva não linear (÷w). Corrige-se interpolando s/w, t/w, 1/w e dividindo.</x:v>
      </x:c>
      <x:c r="C450"/>
    </x:row>
    <x:row r="451" ht="25.200000762939453" hidden="0" customHeight="1">
      <x:c r="A451" s="114" t="str">
        <x:v>Resposta</x:v>
      </x:c>
      <x:c r="B451" s="88" t="str">
        <x:v>Base (Tangente, Bitangente, Normal) da superfície. Monta-se no vertex shader com a normal transformada pela normal matrix; no fragment shader leva n_map para o mundo.</x:v>
      </x:c>
      <x:c r="C451"/>
    </x:row>
    <x:row r="452" ht="25.200000762939453" hidden="0" customHeight="1">
      <x:c r="A452" s="114" t="str">
        <x:v>Resposta</x:v>
      </x:c>
      <x:c r="B452" s="88" t="str">
        <x:v>Aplicação → primitivas simples → visualização → iluminação (vértices) → projeção → recorte → viewport → rasterização → cálculo de cor do fragmento → composição (z-buffer/blending) → píxeis.</x:v>
      </x:c>
      <x:c r="C452"/>
    </x:row>
    <x:row r="453" ht="25.200000762939453" hidden="0" customHeight="1">
      <x:c r="A453" s="114" t="str">
        <x:v>Resposta</x:v>
      </x:c>
      <x:c r="B453" s="88" t="str">
        <x:v>Processamento geométrico (vértices, ponto flutuante) + discretização (píxeis, acessos ao framebuffer). Gargalo: discretização — depende do nº de píxeis.</x:v>
      </x:c>
      <x:c r="C453"/>
    </x:row>
    <x:row r="454" ht="15" hidden="0" customHeight="1">
      <x:c r="A454" s="114" t="str">
        <x:v>Resposta</x:v>
      </x:c>
      <x:c r="B454" s="88" t="str">
        <x:v>Janela = região da cena capturada; viewport = área do ecrã onde a imagem é desenhada. Aspect ratio igual evita distorção.</x:v>
      </x:c>
      <x:c r="C454"/>
    </x:row>
    <x:row r="455" ht="15" hidden="0" customHeight="1">
      <x:c r="A455" s="114" t="str">
        <x:v>Resposta</x:v>
      </x:c>
      <x:c r="B455" s="88" t="str">
        <x:v>GPU, framebuffer (memória de imagem), controlador de vídeo (+ controlador de memória).</x:v>
      </x:c>
      <x:c r="C455"/>
    </x:row>
    <x:row r="456" ht="15" hidden="0" customHeight="1">
      <x:c r="A456" s="114" t="str">
        <x:v>Resposta</x:v>
      </x:c>
      <x:c r="B456" s="88" t="str">
        <x:v>24 bits/píxel → 3,75 MB, 16 M cores simultâneas. Indexada 8 bits + LUT → 1,25 MB (+tabela), 256 cores simultâneas.</x:v>
      </x:c>
      <x:c r="C456"/>
    </x:row>
    <x:row r="457" ht="15" hidden="0" customHeight="1">
      <x:c r="A457" s="114" t="str">
        <x:v>Resposta</x:v>
      </x:c>
      <x:c r="B457" s="88" t="str">
        <x:v>Pipeline: rápido, aproximado, tempo real. Ray tracing (fotorrealismo): qualidade, reflexões múltiplas, lento.</x:v>
      </x:c>
      <x:c r="C457"/>
    </x:row>
    <x:row r="458" ht="15" hidden="0" customHeight="1">
      <x:c r="A458" s="114" t="str">
        <x:v>Resposta</x:v>
      </x:c>
      <x:c r="B458" s="88" t="str">
        <x:v>Aproxima reflexões múltiplas; sem ela, zonas não iluminadas diretamente ficam pretas.</x:v>
      </x:c>
      <x:c r="C458"/>
    </x:row>
    <x:row r="459" ht="15" hidden="0" customHeight="1">
      <x:c r="A459" s="114" t="str">
        <x:v>Resposta</x:v>
      </x:c>
      <x:c r="B459" s="88" t="str">
        <x:v>Reflexo especular concentrado, brilho pequeno (superfície polida/metal 100–500).</x:v>
      </x:c>
      <x:c r="C459"/>
    </x:row>
    <x:row r="460" ht="15" hidden="0" customHeight="1">
      <x:c r="A460" s="114" t="str">
        <x:v>Resposta</x:v>
      </x:c>
      <x:c r="B460" s="88" t="str">
        <x:v>Realce perceptivo (inibição lateral) das fronteiras entre polígonos com intensidades diferentes no flat shading.</x:v>
      </x:c>
      <x:c r="C460"/>
    </x:row>
    <x:row r="461" ht="15" hidden="0" customHeight="1">
      <x:c r="A461" s="101" t="str">
        <x:v>Seção</x:v>
      </x:c>
      <x:c r="B461" s="101" t="str">
        <x:v>🔗 Apoio (só a ideia) (3)</x:v>
      </x:c>
      <x:c r="C461"/>
    </x:row>
    <x:row r="462" ht="15" hidden="0" customHeight="1">
      <x:c r="A462" s="114" t="str">
        <x:v>Resposta</x:v>
      </x:c>
      <x:c r="B462" s="88" t="str">
        <x:v>I = ka·La + kd·Ld·max(n·l,0) + ks·Ls·max(n·h,0)^β, h = (l+v)/|l+v|; atenuação 1/(a+bd+cd²) nos termos de luz direta (não no ambiente).</x:v>
      </x:c>
      <x:c r="C462"/>
    </x:row>
    <x:row r="463" ht="15" hidden="0" customHeight="1">
      <x:c r="A463" s="114" t="str">
        <x:v>Resposta</x:v>
      </x:c>
      <x:c r="B463" s="88" t="str">
        <x:v>Perda por amostragem insuficiente (Nyquist 2×). Pré-filtragem (espaço objeto), pós-filtragem/supersampling, mipmapping (texturas).</x:v>
      </x:c>
      <x:c r="C463"/>
    </x:row>
    <x:row r="464" ht="25.200000762939453" hidden="0" customHeight="1">
      <x:c r="A464" s="114" t="str">
        <x:v>Resposta</x:v>
      </x:c>
      <x:c r="B464" s="88" t="str">
        <x:v>Fragmento = píxel potencial (posição, profundidade, cor, normal, uv). A rasterização interpola linearmente os atributos dos vértices (cor, normal, uv) ao longo da primitiva.</x:v>
      </x:c>
      <x:c r="C464"/>
    </x:row>
    <x:row r="465" ht="15" hidden="0" customHeight="1">
      <x:c r="A465" s="101" t="str">
        <x:v>Seção</x:v>
      </x:c>
      <x:c r="B465" s="101" t="str">
        <x:v>🚫 Fora do escopo (se sobrar tempo) (8)</x:v>
      </x:c>
      <x:c r="C465"/>
    </x:row>
    <x:row r="466" ht="25.200000762939453" hidden="0" customHeight="1">
      <x:c r="A466" s="114" t="str">
        <x:v>Resposta</x:v>
      </x:c>
      <x:c r="B466" s="88" t="str">
        <x:v>RGB aditivo (ecrãs). CMY subtrativo (impressão; CMYK só acrescenta preto). HSV/HSL intuitivos (matiz, saturação, valor/luminosidade). YCbCr: TV/JPEG, separa luminância. CIE: cobre todo o visível (referência).</x:v>
      </x:c>
      <x:c r="C466"/>
    </x:row>
    <x:row r="467" ht="15" hidden="0" customHeight="1">
      <x:c r="A467" s="114" t="str">
        <x:v>Resposta</x:v>
      </x:c>
      <x:c r="B467" s="88" t="str">
        <x:v>Árvore (acíclica) de nós com transformações e objetos; filhos herdam a matriz do pai (M_filho = M_pai · T · R). Girar a base arrasta todas as peças.</x:v>
      </x:c>
      <x:c r="C467"/>
    </x:row>
    <x:row r="468" ht="15" hidden="0" customHeight="1">
      <x:c r="A468" s="114" t="str">
        <x:v>Resposta</x:v>
      </x:c>
      <x:c r="B468" s="88" t="str">
        <x:v>Usa o halfway vector h em vez do reflexo r → evita calcular r; com expoente β.</x:v>
      </x:c>
      <x:c r="C468"/>
    </x:row>
    <x:row r="469" ht="15" hidden="0" customHeight="1">
      <x:c r="A469" s="114" t="str">
        <x:v>Resposta</x:v>
      </x:c>
      <x:c r="B469" s="88" t="str">
        <x:v>Para cada fragmento: se z &lt; zbuf[x,y] escreve z e cor; senão descarta. Inicializa z=max. Ordem arbitrária. Só opacos.</x:v>
      </x:c>
      <x:c r="C469"/>
    </x:row>
    <x:row r="470" ht="15" hidden="0" customHeight="1">
      <x:c r="A470" s="114" t="str">
        <x:v>Resposta</x:v>
      </x:c>
      <x:c r="B470" s="88" t="str">
        <x:v>Blending com alfa: C = α·C_src + (1−α)·C_dst. Desenhar translúcidos depois dos opacos, de trás para frente ⚠.</x:v>
      </x:c>
      <x:c r="C470"/>
    </x:row>
    <x:row r="471" ht="15" hidden="0" customHeight="1">
      <x:c r="A471" s="114" t="str">
        <x:v>Resposta</x:v>
      </x:c>
      <x:c r="B471" s="88" t="str">
        <x:v>Só aritmética inteira (ponto médio); sem acumulação de erro de ponto flutuante.</x:v>
      </x:c>
      <x:c r="C471"/>
    </x:row>
    <x:row r="472" ht="15" hidden="0" customHeight="1">
      <x:c r="A472" s="114" t="str">
        <x:v>Resposta</x:v>
      </x:c>
      <x:c r="B472" s="88" t="str">
        <x:v>dx, dy, d = 2dy − dx, incE = 2dy, incNE = 2(dy−dx); d&lt;0 → E, senão NE e y++.</x:v>
      </x:c>
      <x:c r="C472"/>
    </x:row>
    <x:row r="473" ht="25.200000762939453" hidden="0" customHeight="1">
      <x:c r="A473" s="115" t="str">
        <x:v>Resposta</x:v>
      </x:c>
      <x:c r="B473" s="89" t="str">
        <x:v>Tabela de lados (ordenada por y_min) → lados ativos ordenados por x → spans por pares → incrementa x += 1/m por linha; remove em y_max; ignora horizontais.</x:v>
      </x:c>
      <x:c r="C473"/>
    </x:row>
    <x:row r="474" ht="15" hidden="0" customHeight="1">
      <x:c r="A474"/>
      <x:c r="B474"/>
      <x:c r="C474"/>
    </x:row>
    <x:row r="475" ht="24" hidden="0" customHeight="1">
      <x:c r="A475"/>
      <x:c r="B475"/>
      <x:c r="C47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4749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91" hidden="0" customWidth="1"/>
    <x:col min="3" max="3" width="55" hidden="0" customWidth="1"/>
  </x:cols>
  <x:sheetData>
    <x:row r="1" ht="36" customHeight="1">
      <x:c r="A1" s="50" t="str">
        <x:v>Como interpretar a questão e preencher a planilha</x:v>
      </x:c>
      <x:c r="B1" s="50"/>
      <x:c r="C1" s="50"/>
    </x:row>
    <x:row r="2" ht="24" customHeight="1">
      <x:c r="A2" s="52" t="str">
        <x:v>Roteiro operacional para organizar os dados, calcular e justificar a resposta.</x:v>
      </x:c>
      <x:c r="B2" s="52"/>
      <x:c r="C2" s="52"/>
    </x:row>
    <x:row r="3">
      <x:c r="A3"/>
      <x:c r="B3"/>
      <x:c r="C3"/>
    </x:row>
    <x:row r="4" ht="28" customHeight="1">
      <x:c r="A4" s="116" t="str">
        <x:v>SEQUÊNCIA DE TRABALHO</x:v>
      </x:c>
      <x:c r="B4" s="116" t="str">
        <x:v>Dados → ordem das operações → entradas → recorte e NDC → conclusão</x:v>
      </x:c>
      <x:c r="C4" s="116" t="str">
        <x:v>Declare hipóteses e confira os limites antes de interpretar a visibilidade.</x:v>
      </x:c>
    </x:row>
    <x:row r="5" ht="28" customHeight="1">
      <x:c r="A5" s="59" t="str">
        <x:v>Passo / assunto</x:v>
      </x:c>
      <x:c r="B5" s="59" t="str">
        <x:v>O que fazer</x:v>
      </x:c>
      <x:c r="C5" s="59" t="str">
        <x:v>Como conferir</x:v>
      </x:c>
    </x:row>
    <x:row r="6" ht="15" hidden="0" customHeight="1">
      <x:c r="A6" s="127" t="str">
        <x:v>Seção</x:v>
      </x:c>
      <x:c r="B6" s="127" t="str">
        <x:v>Leitura do enunciado</x:v>
      </x:c>
      <x:c r="C6" s="127" t="str"/>
    </x:row>
    <x:row r="7" ht="25.200000762939453" hidden="0" customHeight="1">
      <x:c r="A7" s="118" t="str">
        <x:v>1. Liste cada objeto e vértice</x:v>
      </x:c>
      <x:c r="B7" s="88" t="str">
        <x:v>Transcreva nomes e coordenadas x,y,z. Marque quais valores dependem da matrícula. Se houver vários triângulos, mantenha um conjunto de dados por objeto.</x:v>
      </x:c>
      <x:c r="C7" s="121" t="str">
        <x:v>A aba Calculadora representa um triângulo por vez. Copie as saídas antes de substituir os dados.</x:v>
      </x:c>
    </x:row>
    <x:row r="8" ht="25.200000762939453" hidden="0" customHeight="1">
      <x:c r="A8" s="118" t="str">
        <x:v>2. Calcule X e Y</x:v>
      </x:c>
      <x:c r="B8" s="88" t="str">
        <x:v>Nos exercícios documentados de 2024, X é o último dígito e Y o penúltimo. Em 2025 P1, Y=(último dígito mod 5)+2 e X=8−Y. Use a regra exata da questão.</x:v>
      </x:c>
      <x:c r="C8" s="121" t="str">
        <x:v>Substitua X e Y nas coordenadas e confira os três componentes de cada ponto.</x:v>
      </x:c>
    </x:row>
    <x:row r="9" ht="24" hidden="0" customHeight="1">
      <x:c r="A9" s="118" t="str">
        <x:v>3. Escreva a ordem das transformações</x:v>
      </x:c>
      <x:c r="B9" s="88" t="str">
        <x:v>Registre eixo, ângulo e sinal, pivô, fator de escala, deslocamento e ordem. A composição desta planilha é M=T·S·R, com vetores-coluna.</x:v>
      </x:c>
      <x:c r="C9" s="121" t="str">
        <x:v>A operação aplicada primeiro fica mais à direita. Se o enunciado pedir outra ordem, calcule manualmente essa matriz.</x:v>
      </x:c>
    </x:row>
    <x:row r="10" ht="25.200000762939453" hidden="0" customHeight="1">
      <x:c r="A10" s="118" t="str">
        <x:v>4. Leia pivôs e convenção</x:v>
      </x:c>
      <x:c r="B10" s="88" t="str">
        <x:v>Centro, central ou próprio eixo usa o centroide. Origem usa (0,0,0). Ângulo positivo segue mão direita; negativo inverte. A planilha usa OpenGL, vetores-coluna e NDC z em [−1,1].</x:v>
      </x:c>
      <x:c r="C10" s="121" t="str">
        <x:v>Declare qualquer pivô assumido. Target Centro usa o centro final depois das transformações.</x:v>
      </x:c>
    </x:row>
    <x:row r="11" ht="24" hidden="0" customHeight="1">
      <x:c r="A11" s="118" t="str">
        <x:v>5. Transcreva câmera e projeção</x:v>
      </x:c>
      <x:c r="B11" s="88" t="str">
        <x:v>Anote eye, target, up, FOV, orientação horizontal/vertical, largura, altura, near e far. Se FOV não estiver qualificado, assuma vertical e declare.</x:v>
      </x:c>
      <x:c r="C11" s="121" t="str">
        <x:v>Aspect=largura/altura. Valide 0&lt;near&lt;far e 0°&lt;FOV&lt;180°. Up não pode ser paralelo a target−eye.</x:v>
      </x:c>
    </x:row>
    <x:row r="12" ht="15" hidden="0" customHeight="1">
      <x:c r="A12" s="132" t="str">
        <x:v>Seção</x:v>
      </x:c>
      <x:c r="B12" s="132" t="str">
        <x:v>Mapa de células da aba Calculadora</x:v>
      </x:c>
      <x:c r="C12" s="132" t="str"/>
    </x:row>
    <x:row r="13" ht="24" hidden="0" customHeight="1">
      <x:c r="A13" s="118" t="str">
        <x:v>Vértices</x:v>
      </x:c>
      <x:c r="B13" s="88" t="str">
        <x:v>C8:E10: linha 8=A, 9=B, 10=C. Colunas C,D,E=x,y,z.</x:v>
      </x:c>
      <x:c r="C13" s="121" t="str">
        <x:v>Preencha entradas amarelas. Não sobrescreva as fórmulas nas áreas azuis.</x:v>
      </x:c>
    </x:row>
    <x:row r="14" ht="15" hidden="0" customHeight="1">
      <x:c r="A14" s="118" t="str">
        <x:v>Rotação</x:v>
      </x:c>
      <x:c r="B14" s="88" t="str">
        <x:v>C13 seleciona Nenhuma, X, Y ou Z. C14 é o ângulo em graus. C15 escolhe Centro ou Origem.</x:v>
      </x:c>
      <x:c r="C14" s="121" t="str">
        <x:v>Sem rotação escolha Nenhuma. Preserve o sinal do ângulo.</x:v>
      </x:c>
    </x:row>
    <x:row r="15" ht="24" hidden="0" customHeight="1">
      <x:c r="A15" s="118" t="str">
        <x:v>Escala e deslocamento</x:v>
      </x:c>
      <x:c r="B15" s="88" t="str">
        <x:v>C19 é escala uniforme; C20 é Centro ou Origem. C25:E25 somam deslocamento em x,y,z.</x:v>
      </x:c>
      <x:c r="C15" s="121" t="str">
        <x:v>1 mantém; 2 dobra; 0,5 reduz à metade. Sem deslocamento use 0,0,0.</x:v>
      </x:c>
    </x:row>
    <x:row r="16" ht="24" hidden="0" customHeight="1">
      <x:c r="A16" s="118" t="str">
        <x:v>Câmera</x:v>
      </x:c>
      <x:c r="B16" s="88" t="str">
        <x:v>C30:E30 são eye. C31 define Origem, Centro ou Manual para target. C32:E32 recebem target Manual. C33:E33 recebem up.</x:v>
      </x:c>
      <x:c r="C16" s="121" t="str">
        <x:v>Target Centro usa centro final. Up paralelo à direção de visão deixa lookAt indefinido ou instável.</x:v>
      </x:c>
    </x:row>
    <x:row r="17" ht="15" hidden="0" customHeight="1">
      <x:c r="A17" s="118" t="str">
        <x:v>Projeção</x:v>
      </x:c>
      <x:c r="B17" s="88" t="str">
        <x:v>C37 recebe FOV em graus; E37 escolhe Vertical ou Horizontal. C38 é largura, E38 altura, C39 near e E39 far.</x:v>
      </x:c>
      <x:c r="C17" s="121" t="str">
        <x:v>Use valores do enunciado e confira os rótulos antes de digitar.</x:v>
      </x:c>
    </x:row>
    <x:row r="18" ht="15" hidden="0" customHeight="1">
      <x:c r="A18" s="132" t="str">
        <x:v>Seção</x:v>
      </x:c>
      <x:c r="B18" s="132" t="str">
        <x:v>Matrizes e leitura dos resultados</x:v>
      </x:c>
      <x:c r="C18" s="132" t="str"/>
    </x:row>
    <x:row r="19" ht="25.200000762939453" hidden="0" customHeight="1">
      <x:c r="A19" s="118" t="str">
        <x:v>Matrizes intermediárias</x:v>
      </x:c>
      <x:c r="B19" s="88" t="str">
        <x:v>Na aba Matrizes: MR em B28:E31; escala com pivô em B52:E55; deslocamento em G59:J62; M em B66:E69; View em G86:J89; Projection em B93:E96; MV em G93:J96; MVP em B100:E103.</x:v>
      </x:c>
      <x:c r="C19" s="121" t="str">
        <x:v>MVP=P·V·M. Nomeie e mostre as matrizes intermediárias pedidas.</x:v>
      </x:c>
    </x:row>
    <x:row r="20" ht="25.200000762939453" hidden="0" customHeight="1">
      <x:c r="A20" s="118" t="str">
        <x:v>Saídas</x:v>
      </x:c>
      <x:c r="B20" s="88" t="str">
        <x:v>Na aba Calculadora: M em G7:J10; MVP em G13:J16; pontos finais no mundo em G20:I23; coordenadas após divisão por W em G27:I30; classificação em G34. Detalhes explica os limites que falharam.</x:v>
      </x:c>
      <x:c r="C20" s="121" t="str">
        <x:v>Preserve sinais e precisão nos cálculos. Não copie apenas o status final.</x:v>
      </x:c>
    </x:row>
    <x:row r="21" ht="24" hidden="0" customHeight="1">
      <x:c r="A21" s="118" t="str">
        <x:v>Recorte e NDC</x:v>
      </x:c>
      <x:c r="B21" s="88" t="str">
        <x:v>Antes de dividir por W, teste −W≤X,Y,Z≤W. Os seis testes são X+W, W−X, Y+W, W−Y, Z+W e W−Z≥0.</x:v>
      </x:c>
      <x:c r="C21" s="121" t="str">
        <x:v>Recorte ocorre antes da divisão. Se W≤0, não interprete coordenadas divididas como posição visível.</x:v>
      </x:c>
    </x:row>
    <x:row r="22" ht="24" hidden="0" customHeight="1">
      <x:c r="A22" s="118" t="str">
        <x:v>Classificação do triângulo</x:v>
      </x:c>
      <x:c r="B22" s="88" t="str">
        <x:v>Dentro = triângulo todo no frustum. Parcial = parte recortada. Fora = toda a área rejeitada. Use G34 e a aba Detalhes.</x:v>
      </x:c>
      <x:c r="C22" s="121" t="str">
        <x:v>Não conte só vértices dentro. Arestas podem cruzar o frustum mesmo se os três vértices estiverem fora.</x:v>
      </x:c>
    </x:row>
    <x:row r="23" ht="15" hidden="0" customHeight="1">
      <x:c r="A23" s="132" t="str">
        <x:v>Seção</x:v>
      </x:c>
      <x:c r="B23" s="132" t="str">
        <x:v>Ajuste da câmera e múltiplos objetos</x:v>
      </x:c>
      <x:c r="C23" s="132" t="str"/>
    </x:row>
    <x:row r="24" ht="15" hidden="0" customHeight="1">
      <x:c r="A24" s="118" t="str">
        <x:v>Além do Far</x:v>
      </x:c>
      <x:c r="B24" s="88" t="str">
        <x:v>Se Z_NDC&gt;1, aumente far para além do ponto mais distante ou aproxime eye mantendo target coerente.</x:v>
      </x:c>
      <x:c r="C24" s="121" t="str">
        <x:v>Rode novamente e confirme todos os pontos.</x:v>
      </x:c>
    </x:row>
    <x:row r="25" ht="24" hidden="0" customHeight="1">
      <x:c r="A25" s="118" t="str">
        <x:v>Antes do Near ou atrás</x:v>
      </x:c>
      <x:c r="B25" s="88" t="str">
        <x:v>Se Z_NDC&lt;−1, reduza near quando permitido. Se W≤0, mova a câmera ou o objeto para deixá-lo à frente.</x:v>
      </x:c>
      <x:c r="C25" s="121" t="str">
        <x:v>Não resolva W≤0 apenas dividindo por W.</x:v>
      </x:c>
    </x:row>
    <x:row r="26" ht="15" hidden="0" customHeight="1">
      <x:c r="A26" s="118" t="str">
        <x:v>Fora dos lados</x:v>
      </x:c>
      <x:c r="B26" s="88" t="str">
        <x:v>Se |X_NDC| ou |Y_NDC|&gt;1, aumente o FOV correto, afaste a câmera ou ajuste target para o centro.</x:v>
      </x:c>
      <x:c r="C26" s="121" t="str">
        <x:v>Diferencie FOV vertical de horizontal.</x:v>
      </x:c>
    </x:row>
    <x:row r="27" ht="36" hidden="0" customHeight="1">
      <x:c r="A27" s="118" t="str">
        <x:v>Oclusão de T e U</x:v>
      </x:c>
      <x:c r="B27" s="88" t="str">
        <x:v>Resolva cada triângulo separadamente. Primeiro confira o frustum, depois sobreposição em X_NDC,Y_NDC e por fim Z_NDC na área comum. Menor Z_NDC fica mais perto no volume OpenGL.</x:v>
      </x:c>
      <x:c r="C27" s="121" t="str">
        <x:v>A planilha não calcula oclusão. Os arquivos registram T e U fora com a câmera original de 2025 e eye=(0,0,−25), far=40 como correção documentada para Y=2…6.</x:v>
      </x:c>
    </x:row>
    <x:row r="28" ht="15" hidden="0" customHeight="1">
      <x:c r="A28" s="132" t="str">
        <x:v>Seção</x:v>
      </x:c>
      <x:c r="B28" s="132" t="str">
        <x:v>Modelo de resposta para a prova</x:v>
      </x:c>
      <x:c r="C28" s="132" t="str"/>
    </x:row>
    <x:row r="29" ht="15" hidden="0" customHeight="1">
      <x:c r="A29" s="118" t="str">
        <x:v>1. Hipóteses e dados</x:v>
      </x:c>
      <x:c r="B29" s="88" t="str">
        <x:v>Declare matrícula, X/Y, vértices, convenção OpenGL, pivôs, ângulo, escala, deslocamento, eye, target, up, FOV, aspecto, near e far.</x:v>
      </x:c>
      <x:c r="C29" s="121" t="str">
        <x:v>Diga explicitamente toda hipótese.</x:v>
      </x:c>
    </x:row>
    <x:row r="30" ht="15" hidden="0" customHeight="1">
      <x:c r="A30" s="118" t="str">
        <x:v>2. Matrizes nomeadas</x:v>
      </x:c>
      <x:c r="B30" s="88" t="str">
        <x:v>Mostre T(−C), rotação, T(+C), MR, escala, MS, deslocamento, M, View, Projection, MV e MVP, conforme aplicável.</x:v>
      </x:c>
      <x:c r="C30" s="121" t="str">
        <x:v>Confira dimensões 4×4 e ordem.</x:v>
      </x:c>
    </x:row>
    <x:row r="31" ht="24" hidden="0" customHeight="1">
      <x:c r="A31" s="118" t="str">
        <x:v>3. Resultado por vértice</x:v>
      </x:c>
      <x:c r="B31" s="88" t="str">
        <x:v>Calcule M·p para o ponto no mundo e MVP·p para clip. Escreva Xclip,Yclip,Zclip,W e NDC=clip/W.</x:v>
      </x:c>
      <x:c r="C31" s="121" t="str">
        <x:v>Só divida quando W for diferente de zero e depois de recortar.</x:v>
      </x:c>
    </x:row>
    <x:row r="32" ht="25.200000762939453" hidden="0" customHeight="1">
      <x:c r="A32" s="118" t="str">
        <x:v>4. Conclusão</x:v>
      </x:c>
      <x:c r="B32" s="88" t="str">
        <x:v>Cite quais limites falharam, conclua Dentro/Parcial/Fora e diferencie visibilidade no frustum de oclusão por outro objeto. Se mudar câmera, repita a conta.</x:v>
      </x:c>
      <x:c r="C32" s="121" t="str">
        <x:v>As provas pedem explicar por quê e indicar solução.</x:v>
      </x:c>
    </x:row>
    <x:row r="33" ht="25.200000762939453" hidden="0" customHeight="1">
      <x:c r="A33" s="118" t="str">
        <x:v>Limites desta calculadora</x:v>
      </x:c>
      <x:c r="B33" s="88" t="str">
        <x:v>Uma configuração de triângulo por vez, escala uniforme, composição fixa rotação→escala→deslocamento e projeção perspectiva OpenGL. Não calcula oclusão nem aceita qualquer ordem arbitrária.</x:v>
      </x:c>
      <x:c r="C33" s="121" t="str">
        <x:v>Para escalas não uniformes, projeção ortogonal ou outra ordem, faça a transformação manualmente.</x:v>
      </x:c>
    </x:row>
    <x:row r="34" ht="25.200000762939453" hidden="0" customHeight="1">
      <x:c r="A34" s="118" t="str">
        <x:v>Limites do material</x:v>
      </x:c>
      <x:c r="B34" s="88" t="str">
        <x:v>A transcrição do PDF tem OCR insuficiente na página 64 e faltam as páginas 152–153. ⚠ marca conteúdo de aula/conhecimento geral fora do livro.</x:v>
      </x:c>
      <x:c r="C34" s="121" t="str">
        <x:v>Confira fórmulas e tabelas no PDF original quando esses trechos forem determinantes.</x:v>
      </x:c>
    </x:row>
    <x:row r="35" ht="15" hidden="0" customHeight="1">
      <x:c r="A35" s="132" t="str">
        <x:v>Seção</x:v>
      </x:c>
      <x:c r="B35" s="132" t="str">
        <x:v>Questão MVP do triângulo — passo a passo (parte no computador)</x:v>
      </x:c>
      <x:c r="C35" s="132" t="str"/>
    </x:row>
    <x:row r="36" ht="25.200000762939453" hidden="0" customHeight="1">
      <x:c r="A36" s="118" t="str">
        <x:v>Nota</x:v>
      </x:c>
      <x:c r="B36" s="88" t="str">
        <x:v>Todas as provas (2024 Estudo, 2024 P1, 2025 P1) têm essa questão e ela é a mais pesada (5,0 pts em 2024). A planilha calculadora de apoio faz a conta; a prova cobra que você apresente as matrizes intermediárias nomeadas, o resultado final e a interpretação.</x:v>
      </x:c>
      <x:c r="C36" s="121" t="str"/>
    </x:row>
    <x:row r="37" ht="25.200000762939453" hidden="0" customHeight="1">
      <x:c r="A37" s="133" t="str">
        <x:v>Escopo</x:v>
      </x:c>
      <x:c r="B37" s="88" t="str">
        <x:v>Convenção: OpenGL (câmera olha para −z, NDC z ∈ [−1,1], vetores coluna, MVP = P·V·M) — a mesma da planilha. Matrícula sempre parametrizada: python3 tools/mvp.py --prova 2025p1 --matricula .</x:v>
      </x:c>
      <x:c r="C37" s="121" t="str"/>
    </x:row>
    <x:row r="38" ht="15" hidden="0" customHeight="1">
      <x:c r="A38" s="132" t="str">
        <x:v>Seção</x:v>
      </x:c>
      <x:c r="B38" s="132" t="str">
        <x:v>0. Antes de tudo</x:v>
      </x:c>
      <x:c r="C38" s="132" t="str"/>
    </x:row>
    <x:row r="39" ht="15" hidden="0" customHeight="1">
      <x:c r="A39" s="118" t="str">
        <x:v>Passo</x:v>
      </x:c>
      <x:c r="B39" s="88" t="str">
        <x:v>1. Calcule X e Y da sua matrícula (2024: X = último dígito, Y = penúltimo; 2025: Y = (último dígito mod 5) + 2, X = 8 − Y).</x:v>
      </x:c>
      <x:c r="C39" s="121" t="str"/>
    </x:row>
    <x:row r="40" ht="15" hidden="0" customHeight="1">
      <x:c r="A40" s="118" t="str">
        <x:v>Passo</x:v>
      </x:c>
      <x:c r="B40" s="88" t="str">
        <x:v>2. Escreva as coordenadas finais dos 3 vértices.</x:v>
      </x:c>
      <x:c r="C40" s="121" t="str"/>
    </x:row>
    <x:row r="41" ht="15" hidden="0" customHeight="1">
      <x:c r="A41" s="118" t="str">
        <x:v>Passo</x:v>
      </x:c>
      <x:c r="B41" s="88" t="str">
        <x:v>3. Leia o que diz "central/centro/origem" — define o pivô da rotação e da escala.</x:v>
      </x:c>
      <x:c r="C41" s="121" t="str"/>
    </x:row>
    <x:row r="42" ht="15" hidden="0" customHeight="1">
      <x:c r="A42" s="132" t="str">
        <x:v>Seção</x:v>
      </x:c>
      <x:c r="B42" s="132" t="str">
        <x:v>1. Mapeamento enunciado → células da planilha (aba Calculadora)</x:v>
      </x:c>
      <x:c r="C42" s="132" t="str"/>
    </x:row>
    <x:row r="43" ht="15" hidden="0" customHeight="1">
      <x:c r="A43" s="118" t="str">
        <x:v>Tabela</x:v>
      </x:c>
      <x:c r="B43" s="88" t="str">
        <x:v>Enunciado | Onde preencher | Cuidado</x:v>
      </x:c>
      <x:c r="C43" s="121" t="str"/>
    </x:row>
    <x:row r="44" ht="15" hidden="0" customHeight="1">
      <x:c r="A44" s="118" t="str">
        <x:v>Tabela</x:v>
      </x:c>
      <x:c r="B44" s="88" t="str">
        <x:v>Pontos A, B, C | C8:E10 (x,y,z de A, B, C) |</x:v>
      </x:c>
      <x:c r="C44" s="121" t="str"/>
    </x:row>
    <x:row r="45" ht="15" hidden="0" customHeight="1">
      <x:c r="A45" s="118" t="str">
        <x:v>Tabela</x:v>
      </x:c>
      <x:c r="B45" s="88" t="str">
        <x:v>"Rotação em torno do eixo Z/X/Y por θ" | C13 eixo, C14 ângulo | sentido anti-horário positivo; "−60°" = horário</x:v>
      </x:c>
      <x:c r="C45" s="121" t="str"/>
    </x:row>
    <x:row r="46" ht="15" hidden="0" customHeight="1">
      <x:c r="A46" s="118" t="str">
        <x:v>Tabela</x:v>
      </x:c>
      <x:c r="B46" s="88" t="str">
        <x:v>"…em relação ao ponto central do triângulo" | C15 = Centro | senão Origem</x:v>
      </x:c>
      <x:c r="C46" s="121" t="str"/>
    </x:row>
    <x:row r="47" ht="15" hidden="0" customHeight="1">
      <x:c r="A47" s="118" t="str">
        <x:v>Tabela</x:v>
      </x:c>
      <x:c r="B47" s="88" t="str">
        <x:v>"Aumento em dobro" / "escala 0,5" | C19 = 2 / 0,5 | C20 pivô: Centro (mantém o triângulo no lugar) ou Origem</x:v>
      </x:c>
      <x:c r="C47" s="121" t="str"/>
    </x:row>
    <x:row r="48" ht="15" hidden="0" customHeight="1">
      <x:c r="A48" s="118" t="str">
        <x:v>Tabela</x:v>
      </x:c>
      <x:c r="B48" s="88" t="str">
        <x:v>"Deslocamento no eixo X em 2" | C25:E25 = (2,0,0) |</x:v>
      </x:c>
      <x:c r="C48" s="121" t="str"/>
    </x:row>
    <x:row r="49" ht="15" hidden="0" customHeight="1">
      <x:c r="A49" s="118" t="str">
        <x:v>Tabela</x:v>
      </x:c>
      <x:c r="B49" s="88" t="str">
        <x:v>"Posição do olho/câmera" | C30:E30 |</x:v>
      </x:c>
      <x:c r="C49" s="121" t="str"/>
    </x:row>
    <x:row r="50" ht="15" hidden="0" customHeight="1">
      <x:c r="A50" s="118" t="str">
        <x:v>Tabela</x:v>
      </x:c>
      <x:c r="B50" s="88" t="str">
        <x:v>"Target é o centro do triângulo / a origem" | C31 = Centro / Origem | centro = após as transformações do modelo</x:v>
      </x:c>
      <x:c r="C50" s="121" t="str"/>
    </x:row>
    <x:row r="51" ht="15" hidden="0" customHeight="1">
      <x:c r="A51" s="118" t="str">
        <x:v>Tabela</x:v>
      </x:c>
      <x:c r="B51" s="88" t="str">
        <x:v>"Up vector" | C33:E33 | não pode ser paralelo à direção de visão</x:v>
      </x:c>
      <x:c r="C51" s="121" t="str"/>
    </x:row>
    <x:row r="52" ht="25.200000762939453" hidden="0" customHeight="1">
      <x:c r="A52" s="118" t="str">
        <x:v>Tabela</x:v>
      </x:c>
      <x:c r="B52" s="88" t="str">
        <x:v>"FOV 60°" | C37; E37 = Vertical/Horizontal | se disser "horizontal" escolha Horizontal; se não disser, assuma vertical (OpenGL fovy) e declare isso</x:v>
      </x:c>
      <x:c r="C52" s="121" t="str"/>
    </x:row>
    <x:row r="53" ht="15" hidden="0" customHeight="1">
      <x:c r="A53" s="118" t="str">
        <x:v>Tabela</x:v>
      </x:c>
      <x:c r="B53" s="88" t="str">
        <x:v>Largura × altura da janela | C38 (largura), E38 (altura) | aspect = L/A</x:v>
      </x:c>
      <x:c r="C53" s="121" t="str"/>
    </x:row>
    <x:row r="54" ht="15" hidden="0" customHeight="1">
      <x:c r="A54" s="118" t="str">
        <x:v>Tabela</x:v>
      </x:c>
      <x:c r="B54" s="88" t="str">
        <x:v>near / far | C39 / E39 | far &gt; near &gt; 0</x:v>
      </x:c>
      <x:c r="C54" s="121" t="str"/>
    </x:row>
    <x:row r="55" ht="25.200000762939453" hidden="0" customHeight="1">
      <x:c r="A55" s="118" t="str">
        <x:v>Nota</x:v>
      </x:c>
      <x:c r="B55" s="88" t="str">
        <x:v>Saídas: M (G7:J10…), MVP (G13:J16), pontos no mundo (G20:I23), pontos normalizados por w (G27:I30), visibilidade (G34 → aba Detalhes explica).</x:v>
      </x:c>
      <x:c r="C55" s="121" t="str"/>
    </x:row>
    <x:row r="56" ht="15" hidden="0" customHeight="1">
      <x:c r="A56" s="132" t="str">
        <x:v>Seção</x:v>
      </x:c>
      <x:c r="B56" s="132" t="str">
        <x:v>2. Ordem das matrizes (o que escrever na prova)</x:v>
      </x:c>
      <x:c r="C56" s="132" t="str"/>
    </x:row>
    <x:row r="57" ht="15" hidden="0" customHeight="1">
      <x:c r="A57" s="134" t="str">
        <x:v>Fórmula</x:v>
      </x:c>
      <x:c r="B57" s="113" t="str">
        <x:v>M = T · S · R (rotação 1º, escala 2º, deslocamento 3º; o mais à direita age primeiro)</x:v>
      </x:c>
      <x:c r="C57" s="135" t="str"/>
    </x:row>
    <x:row r="58" ht="15" hidden="0" customHeight="1">
      <x:c r="A58" s="134" t="str">
        <x:v>Fórmula</x:v>
      </x:c>
      <x:c r="B58" s="113" t="str">
        <x:v>R = T(+c) · Rz(θ) · T(−c) (se pivô = centro c = (A+B+C)/3)</x:v>
      </x:c>
      <x:c r="C58" s="135" t="str"/>
    </x:row>
    <x:row r="59" ht="15" hidden="0" customHeight="1">
      <x:c r="A59" s="134" t="str">
        <x:v>Fórmula</x:v>
      </x:c>
      <x:c r="B59" s="113" t="str">
        <x:v>S = T(+c') · S(s) · T(−c') (c' = centro após a rotação)</x:v>
      </x:c>
      <x:c r="C59" s="135" t="str"/>
    </x:row>
    <x:row r="60" ht="15" hidden="0" customHeight="1">
      <x:c r="A60" s="134" t="str">
        <x:v>Fórmula</x:v>
      </x:c>
      <x:c r="B60" s="113" t="str">
        <x:v>V = View (lookAt: eye, target, up)</x:v>
      </x:c>
      <x:c r="C60" s="135" t="str"/>
    </x:row>
    <x:row r="61" ht="15" hidden="0" customHeight="1">
      <x:c r="A61" s="134" t="str">
        <x:v>Fórmula</x:v>
      </x:c>
      <x:c r="B61" s="113" t="str">
        <x:v>P = Projection (perspectiva: fov, aspect, near, far)</x:v>
      </x:c>
      <x:c r="C61" s="135" t="str"/>
    </x:row>
    <x:row r="62" ht="15" hidden="0" customHeight="1">
      <x:c r="A62" s="134" t="str">
        <x:v>Fórmula</x:v>
      </x:c>
      <x:c r="B62" s="113" t="str">
        <x:v>MVP = P · V · M → clip = MVP · (x,y,z,1)ᵀ → NDC = clip / w</x:v>
      </x:c>
      <x:c r="C62" s="135" t="str"/>
    </x:row>
    <x:row r="63" ht="15" hidden="0" customHeight="1">
      <x:c r="A63" s="118" t="str">
        <x:v>Nota</x:v>
      </x:c>
      <x:c r="B63" s="88" t="str">
        <x:v>Dê nome a cada uma: T_centro⁻¹, R_z(60°), T_centro, M_rot, S_centro, M, V, P, MVP (a aba Matrizes mostra todas, copie dali).</x:v>
      </x:c>
      <x:c r="C63" s="121" t="str"/>
    </x:row>
    <x:row r="64" ht="15" hidden="0" customHeight="1">
      <x:c r="A64" s="132" t="str">
        <x:v>Seção</x:v>
      </x:c>
      <x:c r="B64" s="132" t="str">
        <x:v>3. Interpretação da visibilidade</x:v>
      </x:c>
      <x:c r="C64" s="132" t="str"/>
    </x:row>
    <x:row r="65" ht="15" hidden="0" customHeight="1">
      <x:c r="A65" s="118" t="str">
        <x:v>Nota</x:v>
      </x:c>
      <x:c r="B65" s="88" t="str">
        <x:v>Em clip space um vértice está dentro se −w ≤ x,y,z ≤ w (equivalente a −1 ≤ NDC ≤ 1).</x:v>
      </x:c>
      <x:c r="C65" s="121" t="str"/>
    </x:row>
    <x:row r="66" ht="15" hidden="0" customHeight="1">
      <x:c r="A66" s="118" t="str">
        <x:v>Tópico</x:v>
      </x:c>
      <x:c r="B66" s="88" t="str">
        <x:v>• Todos dentro → totalmente visível. Alguns → parcialmente visível (será recortado). Nenhum e triângulo fora do volume → não visível.</x:v>
      </x:c>
      <x:c r="C66" s="121" t="str"/>
    </x:row>
    <x:row r="67" ht="15" hidden="0" customHeight="1">
      <x:c r="A67" s="118" t="str">
        <x:v>Tópico</x:v>
      </x:c>
      <x:c r="B67" s="88" t="str">
        <x:v>• z_ndc &gt; 1 → além do far; z_ndc &lt; −1 → antes do near; w ≤ 0 → atrás da câmera.</x:v>
      </x:c>
      <x:c r="C67" s="121" t="str"/>
    </x:row>
    <x:row r="68" ht="25.200000762939453" hidden="0" customHeight="1">
      <x:c r="A68" s="118" t="str">
        <x:v>Tópico</x:v>
      </x:c>
      <x:c r="B68" s="88" t="str">
        <x:v>• Oclusão (um objeto na frente do outro) não é decidida aqui — é o Z-buffer. Na 2025 a pergunta "visíveis, oclusos ou parcialmente visíveis" quer: dentro/fora do volume de visualização primeiro.</x:v>
      </x:c>
      <x:c r="C68" s="121" t="str"/>
    </x:row>
    <x:row r="69" ht="15" hidden="0" customHeight="1">
      <x:c r="A69" s="132" t="str">
        <x:v>Seção</x:v>
      </x:c>
      <x:c r="B69" s="132" t="str">
        <x:v>4. "Modifique a câmera para o triângulo ficar totalmente dentro"</x:v>
      </x:c>
      <x:c r="C69" s="132" t="str"/>
    </x:row>
    <x:row r="70" ht="15" hidden="0" customHeight="1">
      <x:c r="A70" s="118" t="str">
        <x:v>Nota</x:v>
      </x:c>
      <x:c r="B70" s="88" t="str">
        <x:v>Diagnostique pelos NDC e corrija o parâmetro que estourou:</x:v>
      </x:c>
      <x:c r="C70" s="121" t="str"/>
    </x:row>
    <x:row r="71" ht="15" hidden="0" customHeight="1">
      <x:c r="A71" s="118" t="str">
        <x:v>Tabela</x:v>
      </x:c>
      <x:c r="B71" s="88" t="str">
        <x:v>Sintoma | Correção</x:v>
      </x:c>
      <x:c r="C71" s="121" t="str"/>
    </x:row>
    <x:row r="72" ht="15" hidden="0" customHeight="1">
      <x:c r="A72" s="118" t="str">
        <x:v>Tabela</x:v>
      </x:c>
      <x:c r="B72" s="88" t="str">
        <x:v>z_ndc &gt; 1 (além do far) | aumentar far (&gt; distância ao vértice mais longe) ou aproximar a câmera</x:v>
      </x:c>
      <x:c r="C72" s="121" t="str"/>
    </x:row>
    <x:row r="73" ht="15" hidden="0" customHeight="1">
      <x:c r="A73" s="118" t="str">
        <x:v>Tabela</x:v>
      </x:c>
      <x:c r="B73" s="88" t="str">
        <x:v>z_ndc &lt; −1 / w ≤ 0 | diminuir near ou afastar a câmera / mover o objeto para frente da câmera</x:v>
      </x:c>
      <x:c r="C73" s="121" t="str"/>
    </x:row>
    <x:row r="74" ht="15" hidden="0" customHeight="1">
      <x:c r="A74" s="118" t="str">
        <x:v>Tabela</x:v>
      </x:c>
      <x:c r="B74" s="88" t="str">
        <x:v>\ | x\ | ou \ | y\ | &gt; 1 | aumentar o FOV ou afastar a câmera (ou apontar o target ao centro do triângulo)</x:v>
      </x:c>
      <x:c r="C74" s="121" t="str"/>
    </x:row>
    <x:row r="75" ht="25.200000762939453" hidden="0" customHeight="1">
      <x:c r="A75" s="118" t="str">
        <x:v>Nota</x:v>
      </x:c>
      <x:c r="B75" s="88" t="str">
        <x:v>Dica: afastar a câmera ao longo da direção de visão (mantendo o target) e fixar far = distância máxima + folga costuma resolver tudo de uma vez. Verifique de novo na planilha.</x:v>
      </x:c>
      <x:c r="C75" s="121" t="str"/>
    </x:row>
    <x:row r="76" ht="15" hidden="0" customHeight="1">
      <x:c r="A76" s="132" t="str">
        <x:v>Seção</x:v>
      </x:c>
      <x:c r="B76" s="132" t="str">
        <x:v>5. Validação independente (script)</x:v>
      </x:c>
      <x:c r="C76" s="132" t="str"/>
    </x:row>
    <x:row r="77" ht="25.200000762939453" hidden="0" customHeight="1">
      <x:c r="A77" s="118" t="str">
        <x:v>Nota</x:v>
      </x:c>
      <x:c r="B77" s="88" t="str">
        <x:v>tools/mvp.py replica a planilha (mesma convenção; --demo reproduz o estado atual da planilha, MVP linha 1 = −0.6402 0.6402 0 2.1339) e recorta o triângulo contra os 6 planos para dizer Dentro/Parcial/Fora:</x:v>
      </x:c>
      <x:c r="C77" s="121" t="str"/>
    </x:row>
    <x:row r="78" ht="15" hidden="0" customHeight="1">
      <x:c r="A78" s="134" t="str">
        <x:v>Fórmula</x:v>
      </x:c>
      <x:c r="B78" s="113" t="str">
        <x:v>import sys; sys.path.insert(0, "tools")</x:v>
      </x:c>
      <x:c r="C78" s="135" t="str"/>
    </x:row>
    <x:row r="79" ht="15" hidden="0" customHeight="1">
      <x:c r="A79" s="134" t="str">
        <x:v>Fórmula</x:v>
      </x:c>
      <x:c r="B79" s="113" t="str">
        <x:v>from mvp import run</x:v>
      </x:c>
      <x:c r="C79" s="135" t="str"/>
    </x:row>
    <x:row r="80" ht="15" hidden="0" customHeight="1">
      <x:c r="A80" s="134" t="str">
        <x:v>Fórmula</x:v>
      </x:c>
      <x:c r="B80" s="113" t="str">
        <x:v>X, Y = 5, 7 # &lt;- seus dígitos</x:v>
      </x:c>
      <x:c r="C80" s="135" t="str"/>
    </x:row>
    <x:row r="81" ht="15" hidden="0" customHeight="1">
      <x:c r="A81" s="134" t="str">
        <x:v>Fórmula</x:v>
      </x:c>
      <x:c r="B81" s="113" t="str">
        <x:v>run([(2,3,Y), (-2,X,Y), (-3,-2,Y)], # prova 2024 P1</x:v>
      </x:c>
      <x:c r="C81" s="135" t="str"/>
    </x:row>
    <x:row r="82" ht="15" hidden="0" customHeight="1">
      <x:c r="A82" s="134" t="str">
        <x:v>Fórmula</x:v>
      </x:c>
      <x:c r="B82" s="113" t="str">
        <x:v>rot=("Z", 60, "Centro"), escala=(2, "Centro"),</x:v>
      </x:c>
      <x:c r="C82" s="135" t="str"/>
    </x:row>
    <x:row r="83" ht="15" hidden="0" customHeight="1">
      <x:c r="A83" s="134" t="str">
        <x:v>Fórmula</x:v>
      </x:c>
      <x:c r="B83" s="113" t="str">
        <x:v>eye=(3,0,15), target="Centro", up=(0,1,0),</x:v>
      </x:c>
      <x:c r="C83" s="135" t="str"/>
    </x:row>
    <x:row r="84" ht="15" hidden="0" customHeight="1">
      <x:c r="A84" s="134" t="str">
        <x:v>Fórmula</x:v>
      </x:c>
      <x:c r="B84" s="113" t="str">
        <x:v>fov=120, tipo="Horizontal", largura=2048, altura=1024, near=1, far=10)</x:v>
      </x:c>
      <x:c r="C84" s="135" t="str"/>
    </x:row>
    <x:row r="85" ht="15" hidden="0" customHeight="1">
      <x:c r="A85" s="132" t="str">
        <x:v>Seção</x:v>
      </x:c>
      <x:c r="B85" s="132" t="str">
        <x:v>6. Mapa de resultados por matrícula (calculado com o script)</x:v>
      </x:c>
      <x:c r="C85" s="132" t="str"/>
    </x:row>
    <x:row r="86" ht="15" hidden="0" customHeight="1">
      <x:c r="A86" s="118" t="str">
        <x:v>Nota</x:v>
      </x:c>
      <x:c r="B86" s="88" t="str">
        <x:v>2024 P1 — D=dentro, P=parcial, F=fora; linhas = Y (penúltimo), colunas = X (último) de 0 a 9:</x:v>
      </x:c>
      <x:c r="C86" s="121" t="str"/>
    </x:row>
    <x:row r="87" ht="15" hidden="0" customHeight="1">
      <x:c r="A87" s="134" t="str">
        <x:v>Fórmula</x:v>
      </x:c>
      <x:c r="B87" s="113" t="str">
        <x:v>X: 0123456789</x:v>
      </x:c>
      <x:c r="C87" s="135" t="str"/>
    </x:row>
    <x:row r="88" ht="15" hidden="0" customHeight="1">
      <x:c r="A88" s="134" t="str">
        <x:v>Fórmula</x:v>
      </x:c>
      <x:c r="B88" s="113" t="str">
        <x:v>Y=0: FFFFFFFFFF</x:v>
      </x:c>
      <x:c r="C88" s="135" t="str"/>
    </x:row>
    <x:row r="89" ht="15" hidden="0" customHeight="1">
      <x:c r="A89" s="134" t="str">
        <x:v>Fórmula</x:v>
      </x:c>
      <x:c r="B89" s="113" t="str">
        <x:v>Y=1: FFFFFFFFFF</x:v>
      </x:c>
      <x:c r="C89" s="135" t="str"/>
    </x:row>
    <x:row r="90" ht="15" hidden="0" customHeight="1">
      <x:c r="A90" s="134" t="str">
        <x:v>Fórmula</x:v>
      </x:c>
      <x:c r="B90" s="113" t="str">
        <x:v>Y=2: FFFFFFFFFP</x:v>
      </x:c>
      <x:c r="C90" s="135" t="str"/>
    </x:row>
    <x:row r="91" ht="15" hidden="0" customHeight="1">
      <x:c r="A91" s="134" t="str">
        <x:v>Fórmula</x:v>
      </x:c>
      <x:c r="B91" s="113" t="str">
        <x:v>Y=3: FFFFFFPPPP</x:v>
      </x:c>
      <x:c r="C91" s="135" t="str"/>
    </x:row>
    <x:row r="92" ht="15" hidden="0" customHeight="1">
      <x:c r="A92" s="134" t="str">
        <x:v>Fórmula</x:v>
      </x:c>
      <x:c r="B92" s="113" t="str">
        <x:v>Y=4: FFFPPPPPPP</x:v>
      </x:c>
      <x:c r="C92" s="135" t="str"/>
    </x:row>
    <x:row r="93" ht="15" hidden="0" customHeight="1">
      <x:c r="A93" s="134" t="str">
        <x:v>Fórmula</x:v>
      </x:c>
      <x:c r="B93" s="113" t="str">
        <x:v>Y=5..6: PPPPPPPPPP</x:v>
      </x:c>
      <x:c r="C93" s="135" t="str"/>
    </x:row>
    <x:row r="94" ht="15" hidden="0" customHeight="1">
      <x:c r="A94" s="134" t="str">
        <x:v>Fórmula</x:v>
      </x:c>
      <x:c r="B94" s="113" t="str">
        <x:v>Y=7: DDPPPPPPPP</x:v>
      </x:c>
      <x:c r="C94" s="135" t="str"/>
    </x:row>
    <x:row r="95" ht="15" hidden="0" customHeight="1">
      <x:c r="A95" s="134" t="str">
        <x:v>Fórmula</x:v>
      </x:c>
      <x:c r="B95" s="113" t="str">
        <x:v>Y=8: DPPPPPPPPP</x:v>
      </x:c>
      <x:c r="C95" s="135" t="str"/>
    </x:row>
    <x:row r="96" ht="15" hidden="0" customHeight="1">
      <x:c r="A96" s="134" t="str">
        <x:v>Fórmula</x:v>
      </x:c>
      <x:c r="B96" s="113" t="str">
        <x:v>Y=9: PPPPPPPPPP</x:v>
      </x:c>
      <x:c r="C96" s="135" t="str"/>
    </x:row>
    <x:row r="97" ht="15" hidden="0" customHeight="1">
      <x:c r="A97" s="118" t="str">
        <x:v>Nota</x:v>
      </x:c>
      <x:c r="B97" s="88" t="str">
        <x:v>(Intuição: o eye está em z=15 e o far=10; o triângulo está em z=Y ⇒ distância ≈ 15−Y. Só entra no volume quando 15−Y ≲ 10, i.e., Y ≳ 5.)</x:v>
      </x:c>
      <x:c r="C97" s="121" t="str"/>
    </x:row>
    <x:row r="98" ht="25.200000762939453" hidden="0" customHeight="1">
      <x:c r="A98" s="118" t="str">
        <x:v>Nota</x:v>
      </x:c>
      <x:c r="B98" s="88" t="str">
        <x:v>2024 Estudo (eye (3,32,1), fov 60°, far 25, triângulo em z=2; X,Y = último/penúltimo): quase sempre parcial; só fora para Y baixo e X baixo (X ≤ 3 com Y ≤ 3…).</x:v>
      </x:c>
      <x:c r="C98" s="121" t="str"/>
    </x:row>
    <x:row r="99" ht="25.200000762939453" hidden="0" customHeight="1">
      <x:c r="A99" s="118" t="str">
        <x:v>Nota</x:v>
      </x:c>
      <x:c r="B99" s="88" t="str">
        <x:v>⚠ Nesta prova o eye (3,32,1) está quase em cima do triângulo olhando para baixo, quase paralelo ao Up (0,1,0) → lookAt é mal condicionado (cuidado ao justificar o Up).</x:v>
      </x:c>
      <x:c r="C99" s="121" t="str"/>
    </x:row>
    <x:row r="100" ht="63" hidden="0" customHeight="1">
      <x:c r="A100" s="118" t="str">
        <x:v>Nota</x:v>
      </x:c>
      <x:c r="B100" s="88" t="str">
        <x:v>2025 P1 (Y = 2…6): T e U ficam fora do volume em todos os casos com a leitura "rotação/escala em torno da origem para T; centro para U". Em T, z_ndc ≈ 1,05 → além do far=6 (distância ≈ 6,8); em U, três vértices têm w&lt;0 ou x,y,z fora. Correção (testada com o script para Y=2…6): só aumentar o far resolve T (far = 14 já basta para Y=3,4,5; Y=2 e 6 ficam parciais), mas U continua fora porque parte dele está atrás/ao lado da câmera (z &lt; −5). É preciso recuar a câmera: eye=(0,0,−20), far=30 deixa T dentro e U dentro (Y=3,4,5; parcial em Y=2,6); eye=(0,0,−25), far=40 deixa ambos dentro para todo Y = 2…6.</x:v>
      </x:c>
      <x:c r="C100" s="121" t="str"/>
    </x:row>
    <x:row r="101" ht="15" hidden="0" customHeight="1">
      <x:c r="A101" s="132" t="str">
        <x:v>Seção</x:v>
      </x:c>
      <x:c r="B101" s="132" t="str">
        <x:v>Oclusão (um triângulo na frente do outro)</x:v>
      </x:c>
      <x:c r="C101" s="132" t="str"/>
    </x:row>
    <x:row r="102" ht="15" hidden="0" customHeight="1">
      <x:c r="A102" s="118" t="str">
        <x:v>Nota</x:v>
      </x:c>
      <x:c r="B102" s="88" t="str">
        <x:v>A planilha não calcula, mas dá os NDC dos dois (G27:I30 de cada). Método (é o Z-buffer à mão):</x:v>
      </x:c>
      <x:c r="C102" s="121" t="str"/>
    </x:row>
    <x:row r="103" ht="15" hidden="0" customHeight="1">
      <x:c r="A103" s="118" t="str">
        <x:v>Passo</x:v>
      </x:c>
      <x:c r="B103" s="88" t="str">
        <x:v>1. Cada triângulo está no volume? Fora ⇒ não aparece, logo não há oclusão a discutir. Com w ≤ 0 o teste não vale (recorte antes).</x:v>
      </x:c>
      <x:c r="C103" s="121" t="str"/>
    </x:row>
    <x:row r="104" ht="25.200000762939453" hidden="0" customHeight="1">
      <x:c r="A104" s="118" t="str">
        <x:v>Passo</x:v>
      </x:c>
      <x:c r="B104" s="88" t="str">
        <x:v>2. Sobrepõem-se na tela? Compare (x_ndc, y_ndc) dos dois: caixas que não se tocam ⇒ sem oclusão. Se tocam, veja se algum vértice de um cai dentro do outro (ou se as arestas se cruzam).</x:v>
      </x:c>
      <x:c r="C104" s="121" t="str"/>
    </x:row>
    <x:row r="105" ht="15" hidden="0" customHeight="1">
      <x:c r="A105" s="118" t="str">
        <x:v>Passo</x:v>
      </x:c>
      <x:c r="B105" s="88" t="str">
        <x:v>3. Na região comum, quem tem o menor z_ndc? Menor z = mais perto = oculta o outro (mesmo critério do Z-buffer, livro 8.4).</x:v>
      </x:c>
      <x:c r="C105" s="121" t="str"/>
    </x:row>
    <x:row r="106" ht="25.200000762939453" hidden="0" customHeight="1">
      <x:c r="A106" s="118" t="str">
        <x:v>Passo</x:v>
      </x:c>
      <x:c r="B106" s="88" t="str">
        <x:v>4. Conclusão por triângulo: nenhuma área coberta ⇒ visível; parte coberta ⇒ parcialmente oculto; tudo coberto ⇒ oculto. Se os planos se cruzam (z muda de ordem), há trechos de cada um.</x:v>
      </x:c>
      <x:c r="C106" s="121" t="str"/>
    </x:row>
    <x:row r="107" ht="37.79999923706055" hidden="0" customHeight="1">
      <x:c r="A107" s="118" t="str">
        <x:v>Nota</x:v>
      </x:c>
      <x:c r="B107" s="88" t="str">
        <x:v>No script: python3 -I tools/mvp.py --prova 2025p1 --oclusao [--olho X Y Z] [--far F]. Ele amostra a tela, compara o z_ndc interpolado e informa a % de cada triângulo oculta. Com a matrícula do aluno e a câmera do enunciado, T e U ficam fora do volume (então "não visíveis"); com o olho recuado (0,0,−25) e far 40 ambos entram e não se sobrepõem na tela.</x:v>
      </x:c>
      <x:c r="C107" s="121" t="str"/>
    </x:row>
    <x:row r="108" ht="15" hidden="0" customHeight="1">
      <x:c r="A108" s="132" t="str">
        <x:v>Seção</x:v>
      </x:c>
      <x:c r="B108" s="132" t="str">
        <x:v>Folha do MVP — como usar a planilha calculadora de apoio</x:v>
      </x:c>
      <x:c r="C108" s="132" t="str"/>
    </x:row>
    <x:row r="109" ht="15" hidden="0" customHeight="1">
      <x:c r="A109" s="118" t="str">
        <x:v>Nota</x:v>
      </x:c>
      <x:c r="B109" s="88" t="str">
        <x:v>Convenção da planilha: OpenGL · vetores coluna · MVP = P·V·M · M = T·S·R (rotação 1º, escala 2º, deslocamento 3º) · NDC em [−1, 1].</x:v>
      </x:c>
      <x:c r="C109" s="121" t="str"/>
    </x:row>
    <x:row r="110" ht="15" hidden="0" customHeight="1">
      <x:c r="A110" s="118" t="str">
        <x:v>Nota</x:v>
      </x:c>
      <x:c r="B110" s="88" t="str">
        <x:v>Abas: Calculadora (entrada e resultados) · Matrizes (todas as contas) · Detalhes (por que está dentro/fora).</x:v>
      </x:c>
      <x:c r="C110" s="121" t="str"/>
    </x:row>
    <x:row r="111" ht="15" hidden="0" customHeight="1">
      <x:c r="A111" s="132" t="str">
        <x:v>Seção</x:v>
      </x:c>
      <x:c r="B111" s="132" t="str">
        <x:v>1. Antes de mexer</x:v>
      </x:c>
      <x:c r="C111" s="132" t="str"/>
    </x:row>
    <x:row r="112" ht="15" hidden="0" customHeight="1">
      <x:c r="A112" s="118" t="str">
        <x:v>Passo</x:v>
      </x:c>
      <x:c r="B112" s="88" t="str">
        <x:v>1. Calcule X e Y pela regra da prova (ex.: X = último dígito, Y = penúltimo; ou Y = (último mod 5) + 2, X = 8 − Y).</x:v>
      </x:c>
      <x:c r="C112" s="121" t="str"/>
    </x:row>
    <x:row r="113" ht="15" hidden="0" customHeight="1">
      <x:c r="A113" s="118" t="str">
        <x:v>Passo</x:v>
      </x:c>
      <x:c r="B113" s="88" t="str">
        <x:v>2. Escreva as coordenadas finais de A, B, C.</x:v>
      </x:c>
      <x:c r="C113" s="121" t="str"/>
    </x:row>
    <x:row r="114" ht="15" hidden="0" customHeight="1">
      <x:c r="A114" s="118" t="str">
        <x:v>Passo</x:v>
      </x:c>
      <x:c r="B114" s="88" t="str">
        <x:v>3. Releia o enunciado para: pivô (central/centro × origem), sentido do ângulo (negativo = horário), FOV (vertical × horizontal) e target.</x:v>
      </x:c>
      <x:c r="C114" s="121" t="str"/>
    </x:row>
    <x:row r="115" ht="15" hidden="0" customHeight="1">
      <x:c r="A115" s="132" t="str">
        <x:v>Seção</x:v>
      </x:c>
      <x:c r="B115" s="132" t="str">
        <x:v>2. Preencher — somente as células amarelas (aba Calculadora)</x:v>
      </x:c>
      <x:c r="C115" s="132" t="str"/>
    </x:row>
    <x:row r="116" ht="15" hidden="0" customHeight="1">
      <x:c r="A116" s="118" t="str">
        <x:v>Tabela</x:v>
      </x:c>
      <x:c r="B116" s="88" t="str">
        <x:v>Enunciado diz… | Célula | Observação</x:v>
      </x:c>
      <x:c r="C116" s="121" t="str"/>
    </x:row>
    <x:row r="117" ht="15" hidden="0" customHeight="1">
      <x:c r="A117" s="118" t="str">
        <x:v>Tabela</x:v>
      </x:c>
      <x:c r="B117" s="88" t="str">
        <x:v>Pontos A, B, C | C8:E10 | x, y, z de cada vértice</x:v>
      </x:c>
      <x:c r="C117" s="121" t="str"/>
    </x:row>
    <x:row r="118" ht="15" hidden="0" customHeight="1">
      <x:c r="A118" s="118" t="str">
        <x:v>Tabela</x:v>
      </x:c>
      <x:c r="B118" s="88" t="str">
        <x:v>Rotação em torno do eixo X/Y/Z | C13 | sem rotação → Nenhuma</x:v>
      </x:c>
      <x:c r="C118" s="121" t="str"/>
    </x:row>
    <x:row r="119" ht="15" hidden="0" customHeight="1">
      <x:c r="A119" s="118" t="str">
        <x:v>Tabela</x:v>
      </x:c>
      <x:c r="B119" s="88" t="str">
        <x:v>Ângulo | C14 | em graus</x:v>
      </x:c>
      <x:c r="C119" s="121" t="str"/>
    </x:row>
    <x:row r="120" ht="15" hidden="0" customHeight="1">
      <x:c r="A120" s="118" t="str">
        <x:v>Tabela</x:v>
      </x:c>
      <x:c r="B120" s="88" t="str">
        <x:v>Rotação em relação ao… | C15 | Centro (centro do triângulo) ou Origem</x:v>
      </x:c>
      <x:c r="C120" s="121" t="str"/>
    </x:row>
    <x:row r="121" ht="15" hidden="0" customHeight="1">
      <x:c r="A121" s="118" t="str">
        <x:v>Tabela</x:v>
      </x:c>
      <x:c r="B121" s="88" t="str">
        <x:v>Aumento/redução de escala | C19 | 2 = dobro · 0,5 = metade · 1 = sem mudança</x:v>
      </x:c>
      <x:c r="C121" s="121" t="str"/>
    </x:row>
    <x:row r="122" ht="15" hidden="0" customHeight="1">
      <x:c r="A122" s="118" t="str">
        <x:v>Tabela</x:v>
      </x:c>
      <x:c r="B122" s="88" t="str">
        <x:v>Escala em relação ao… | C20 | Centro mantém o triângulo no lugar; Origem usa (0,0,0)</x:v>
      </x:c>
      <x:c r="C122" s="121" t="str"/>
    </x:row>
    <x:row r="123" ht="15" hidden="0" customHeight="1">
      <x:c r="A123" s="118" t="str">
        <x:v>Tabela</x:v>
      </x:c>
      <x:c r="B123" s="88" t="str">
        <x:v>Deslocamento | C25:E25 | somar a x, y, z; sem deslocamento → 0, 0, 0</x:v>
      </x:c>
      <x:c r="C123" s="121" t="str"/>
    </x:row>
    <x:row r="124" ht="15" hidden="0" customHeight="1">
      <x:c r="A124" s="118" t="str">
        <x:v>Tabela</x:v>
      </x:c>
      <x:c r="B124" s="88" t="str">
        <x:v>Posição do olho/câmera | C30:E30 | x, y, z</x:v>
      </x:c>
      <x:c r="C124" s="121" t="str"/>
    </x:row>
    <x:row r="125" ht="15" hidden="0" customHeight="1">
      <x:c r="A125" s="118" t="str">
        <x:v>Tabela</x:v>
      </x:c>
      <x:c r="B125" s="88" t="str">
        <x:v>Target da câmera | C31 | Origem · Centro (centro final do triângulo) · Manual</x:v>
      </x:c>
      <x:c r="C125" s="121" t="str"/>
    </x:row>
    <x:row r="126" ht="15" hidden="0" customHeight="1">
      <x:c r="A126" s="118" t="str">
        <x:v>Tabela</x:v>
      </x:c>
      <x:c r="B126" s="88" t="str">
        <x:v>Target manual (só se Manual) | C32:E32 | x, y, z</x:v>
      </x:c>
      <x:c r="C126" s="121" t="str"/>
    </x:row>
    <x:row r="127" ht="15" hidden="0" customHeight="1">
      <x:c r="A127" s="118" t="str">
        <x:v>Tabela</x:v>
      </x:c>
      <x:c r="B127" s="88" t="str">
        <x:v>Up vector | C33:E33 | não pode ser paralelo à direção de visão</x:v>
      </x:c>
      <x:c r="C127" s="121" t="str"/>
    </x:row>
    <x:row r="128" ht="15" hidden="0" customHeight="1">
      <x:c r="A128" s="118" t="str">
        <x:v>Tabela</x:v>
      </x:c>
      <x:c r="B128" s="88" t="str">
        <x:v>FOV | C37 | em graus; E37 = Vertical ou Horizontal (se não disser, assuma vertical e declare)</x:v>
      </x:c>
      <x:c r="C128" s="121" t="str"/>
    </x:row>
    <x:row r="129" ht="15" hidden="0" customHeight="1">
      <x:c r="A129" s="118" t="str">
        <x:v>Tabela</x:v>
      </x:c>
      <x:c r="B129" s="88" t="str">
        <x:v>Largura × altura da janela | C38 (largura), E38 (altura) | define o aspect</x:v>
      </x:c>
      <x:c r="C129" s="121" t="str"/>
    </x:row>
    <x:row r="130" ht="15" hidden="0" customHeight="1">
      <x:c r="A130" s="118" t="str">
        <x:v>Tabela</x:v>
      </x:c>
      <x:c r="B130" s="88" t="str">
        <x:v>Near / Far | C39 / E39 | 0 &lt; near &lt; far</x:v>
      </x:c>
      <x:c r="C130" s="121" t="str"/>
    </x:row>
    <x:row r="131" ht="15" hidden="0" customHeight="1">
      <x:c r="A131" s="132" t="str">
        <x:v>Seção</x:v>
      </x:c>
      <x:c r="B131" s="132" t="str">
        <x:v>3. Ler os resultados (aba Calculadora)</x:v>
      </x:c>
      <x:c r="C131" s="132" t="str"/>
    </x:row>
    <x:row r="132" ht="15" hidden="0" customHeight="1">
      <x:c r="A132" s="118" t="str">
        <x:v>Tabela</x:v>
      </x:c>
      <x:c r="B132" s="88" t="str">
        <x:v>O quê | Onde</x:v>
      </x:c>
      <x:c r="C132" s="121" t="str"/>
    </x:row>
    <x:row r="133" ht="15" hidden="0" customHeight="1">
      <x:c r="A133" s="118" t="str">
        <x:v>Tabela</x:v>
      </x:c>
      <x:c r="B133" s="88" t="str">
        <x:v>Matriz M (transformações do objeto) | G7:J10</x:v>
      </x:c>
      <x:c r="C133" s="121" t="str"/>
    </x:row>
    <x:row r="134" ht="15" hidden="0" customHeight="1">
      <x:c r="A134" s="118" t="str">
        <x:v>Tabela</x:v>
      </x:c>
      <x:c r="B134" s="88" t="str">
        <x:v>Matriz MVP final | G13:J16</x:v>
      </x:c>
      <x:c r="C134" s="121" t="str"/>
    </x:row>
    <x:row r="135" ht="15" hidden="0" customHeight="1">
      <x:c r="A135" s="118" t="str">
        <x:v>Tabela</x:v>
      </x:c>
      <x:c r="B135" s="88" t="str">
        <x:v>Pontos finais no mundo (A, B, C) | G20:I23</x:v>
      </x:c>
      <x:c r="C135" s="121" t="str"/>
    </x:row>
    <x:row r="136" ht="15" hidden="0" customHeight="1">
      <x:c r="A136" s="118" t="str">
        <x:v>Tabela</x:v>
      </x:c>
      <x:c r="B136" s="88" t="str">
        <x:v>Pontos normalizados por w (NDC) | G27:I30</x:v>
      </x:c>
      <x:c r="C136" s="121" t="str"/>
    </x:row>
    <x:row r="137" ht="15" hidden="0" customHeight="1">
      <x:c r="A137" s="118" t="str">
        <x:v>Tabela</x:v>
      </x:c>
      <x:c r="B137" s="88" t="str">
        <x:v>Visibilidade (dentro / parcialmente / fora) | G34 — a aba Detalhes explica o porquê</x:v>
      </x:c>
      <x:c r="C137" s="121" t="str"/>
    </x:row>
    <x:row r="138" ht="15" hidden="0" customHeight="1">
      <x:c r="A138" s="118" t="str">
        <x:v>Nota</x:v>
      </x:c>
      <x:c r="B138" s="88" t="str">
        <x:v>Se aparecer "—" ou mensagem em vez de números, falta preencher algo ou há valor inválido (near ≤ 0, far ≤ near, FOV fora de 0–180).</x:v>
      </x:c>
      <x:c r="C138" s="121" t="str"/>
    </x:row>
    <x:row r="139" ht="15" hidden="0" customHeight="1">
      <x:c r="A139" s="132" t="str">
        <x:v>Seção</x:v>
      </x:c>
      <x:c r="B139" s="132" t="str">
        <x:v>4. O que escrever na prova (matrizes com nome) — aba Matrizes</x:v>
      </x:c>
      <x:c r="C139" s="132" t="str"/>
    </x:row>
    <x:row r="140" ht="15" hidden="0" customHeight="1">
      <x:c r="A140" s="118" t="str">
        <x:v>Tabela</x:v>
      </x:c>
      <x:c r="B140" s="88" t="str">
        <x:v>Nome | Conteúdo | Onde</x:v>
      </x:c>
      <x:c r="C140" s="121" t="str"/>
    </x:row>
    <x:row r="141" ht="15" hidden="0" customHeight="1">
      <x:c r="A141" s="118" t="str">
        <x:v>Tabela</x:v>
      </x:c>
      <x:c r="B141" s="88" t="str">
        <x:v>T(−c), T(+c) | levar o centro à origem / devolvê-lo | B21, G21 (rotação) · B45, G45 (escala)</x:v>
      </x:c>
      <x:c r="C141" s="121" t="str"/>
    </x:row>
    <x:row r="142" ht="15" hidden="0" customHeight="1">
      <x:c r="A142" s="118" t="str">
        <x:v>Tabela</x:v>
      </x:c>
      <x:c r="B142" s="88" t="str">
        <x:v>M_R | rotação com pivô = T(+c)·R·T(−c) | B28</x:v>
      </x:c>
      <x:c r="C142" s="121" t="str"/>
    </x:row>
    <x:row r="143" ht="15" hidden="0" customHeight="1">
      <x:c r="A143" s="118" t="str">
        <x:v>Tabela</x:v>
      </x:c>
      <x:c r="B143" s="88" t="str">
        <x:v>S, M_S | escala na origem / com pivô | B38, B52</x:v>
      </x:c>
      <x:c r="C143" s="121" t="str"/>
    </x:row>
    <x:row r="144" ht="15" hidden="0" customHeight="1">
      <x:c r="A144" s="118" t="str">
        <x:v>Tabela</x:v>
      </x:c>
      <x:c r="B144" s="88" t="str">
        <x:v>T | deslocamento | G59</x:v>
      </x:c>
      <x:c r="C144" s="121" t="str"/>
    </x:row>
    <x:row r="145" ht="15" hidden="0" customHeight="1">
      <x:c r="A145" s="118" t="str">
        <x:v>Tabela</x:v>
      </x:c>
      <x:c r="B145" s="88" t="str">
        <x:v>M = T·M_S·M_R | transformação do objeto | B66</x:v>
      </x:c>
      <x:c r="C145" s="121" t="str"/>
    </x:row>
    <x:row r="146" ht="15" hidden="0" customHeight="1">
      <x:c r="A146" s="118" t="str">
        <x:v>Tabela</x:v>
      </x:c>
      <x:c r="B146" s="88" t="str">
        <x:v>V | View (lookAt) | G86</x:v>
      </x:c>
      <x:c r="C146" s="121" t="str"/>
    </x:row>
    <x:row r="147" ht="15" hidden="0" customHeight="1">
      <x:c r="A147" s="118" t="str">
        <x:v>Tabela</x:v>
      </x:c>
      <x:c r="B147" s="88" t="str">
        <x:v>P | Projection (perspetiva) | B93</x:v>
      </x:c>
      <x:c r="C147" s="121" t="str"/>
    </x:row>
    <x:row r="148" ht="15" hidden="0" customHeight="1">
      <x:c r="A148" s="118" t="str">
        <x:v>Tabela</x:v>
      </x:c>
      <x:c r="B148" s="88" t="str">
        <x:v>MV = V·M | intermediária | G93</x:v>
      </x:c>
      <x:c r="C148" s="121" t="str"/>
    </x:row>
    <x:row r="149" ht="15" hidden="0" customHeight="1">
      <x:c r="A149" s="118" t="str">
        <x:v>Tabela</x:v>
      </x:c>
      <x:c r="B149" s="88" t="str">
        <x:v>MVP = P·V·M | final | B100</x:v>
      </x:c>
      <x:c r="C149" s="121" t="str"/>
    </x:row>
    <x:row r="150" ht="15" hidden="0" customHeight="1">
      <x:c r="A150" s="118" t="str">
        <x:v>Nota</x:v>
      </x:c>
      <x:c r="B150" s="88" t="str">
        <x:v>Posição final = MVP · (x, y, z, 1)ᵀ → dividir por w → NDC. Pontos no mundo: M · (x, y, z, 1)ᵀ.</x:v>
      </x:c>
      <x:c r="C150" s="121" t="str"/>
    </x:row>
    <x:row r="151" ht="15" hidden="0" customHeight="1">
      <x:c r="A151" s="132" t="str">
        <x:v>Seção</x:v>
      </x:c>
      <x:c r="B151" s="132" t="str">
        <x:v>5. Visível? Como interpretar</x:v>
      </x:c>
      <x:c r="C151" s="132" t="str"/>
    </x:row>
    <x:row r="152" ht="25.200000762939453" hidden="0" customHeight="1">
      <x:c r="A152" s="118" t="str">
        <x:v>Tópico</x:v>
      </x:c>
      <x:c r="B152" s="88" t="str">
        <x:v>• Dentro ⇔ para cada vértice −w ≤ x, y, z ≤ w (equivale a −1 ≤ NDC ≤ 1). Todos dentro → visível; alguns → parcialmente (recortado); nenhum → fora.</x:v>
      </x:c>
      <x:c r="C152" s="121" t="str"/>
    </x:row>
    <x:row r="153" ht="15" hidden="0" customHeight="1">
      <x:c r="A153" s="118" t="str">
        <x:v>Tópico</x:v>
      </x:c>
      <x:c r="B153" s="88" t="str">
        <x:v>• z_ndc &gt; 1 → além do far · z_ndc 1 → fora dos lados.</x:v>
      </x:c>
      <x:c r="C153" s="121" t="str"/>
    </x:row>
    <x:row r="154" ht="25.200000762939453" hidden="0" customHeight="1">
      <x:c r="A154" s="118" t="str">
        <x:v>Tópico</x:v>
      </x:c>
      <x:c r="B154" s="88" t="str">
        <x:v>• A planilha não calcula oclusão por outro objeto (isso é o Z-buffer). À mão: (1) os dois estão no volume? (2) os (x_ndc, y_ndc) se sobrepõem? (3) na sobreposição, menor z_ndc = na frente e oculta o outro.</x:v>
      </x:c>
      <x:c r="C154" s="121" t="str"/>
    </x:row>
    <x:row r="155" ht="15" hidden="0" customHeight="1">
      <x:c r="A155" s="132" t="str">
        <x:v>Seção</x:v>
      </x:c>
      <x:c r="B155" s="132" t="str">
        <x:v>6. "Modifique a câmera para ficar dentro do volume"</x:v>
      </x:c>
      <x:c r="C155" s="132" t="str"/>
    </x:row>
    <x:row r="156" ht="15" hidden="0" customHeight="1">
      <x:c r="A156" s="118" t="str">
        <x:v>Tabela</x:v>
      </x:c>
      <x:c r="B156" s="88" t="str">
        <x:v>Sintoma | Ajuste</x:v>
      </x:c>
      <x:c r="C156" s="121" t="str"/>
    </x:row>
    <x:row r="157" ht="15" hidden="0" customHeight="1">
      <x:c r="A157" s="118" t="str">
        <x:v>Tabela</x:v>
      </x:c>
      <x:c r="B157" s="88" t="str">
        <x:v>além do far (z_ndc &gt; 1) | aumentar Far (&gt; distância ao vértice mais longe) ou aproximar a câmera</x:v>
      </x:c>
      <x:c r="C157" s="121" t="str"/>
    </x:row>
    <x:row r="158" ht="15" hidden="0" customHeight="1">
      <x:c r="A158" s="118" t="str">
        <x:v>Tabela</x:v>
      </x:c>
      <x:c r="B158" s="88" t="str">
        <x:v>antes do near / atrás (z_ndc &lt; −1, w ≤ 0) | diminuir Near ou afastar a câmera / posicionar o objeto à frente</x:v>
      </x:c>
      <x:c r="C158" s="121" t="str"/>
    </x:row>
    <x:row r="159" ht="15" hidden="0" customHeight="1">
      <x:c r="A159" s="118" t="str">
        <x:v>Tabela</x:v>
      </x:c>
      <x:c r="B159" s="88" t="str">
        <x:v>fora dos lados | aumentar o FOV ou afastar a câmera / apontar o target ao centro</x:v>
      </x:c>
      <x:c r="C159" s="121" t="str"/>
    </x:row>
    <x:row r="160" ht="15" hidden="0" customHeight="1">
      <x:c r="A160" s="118" t="str">
        <x:v>Nota</x:v>
      </x:c>
      <x:c r="B160" s="88" t="str">
        <x:v>Depois de mudar, confira G34 na planilha. Em geral, afastar o olho ao longo da direção de visão e aumentar o far resolve tudo.</x:v>
      </x:c>
      <x:c r="C160" s="121" t="str"/>
    </x:row>
    <x:row r="161" ht="15" hidden="0" customHeight="1">
      <x:c r="A161" s="132" t="str">
        <x:v>Seção</x:v>
      </x:c>
      <x:c r="B161" s="132" t="str">
        <x:v>7. Armadilhas</x:v>
      </x:c>
      <x:c r="C161" s="132" t="str"/>
    </x:row>
    <x:row r="162" ht="15" hidden="0" customHeight="1">
      <x:c r="A162" s="118" t="str">
        <x:v>Tópico</x:v>
      </x:c>
      <x:c r="B162" s="88" t="str">
        <x:v>• FOV horizontal × vertical (E37): erro comum de 1 linha.</x:v>
      </x:c>
      <x:c r="C162" s="121" t="str"/>
    </x:row>
    <x:row r="163" ht="25.200000762939453" hidden="0" customHeight="1">
      <x:c r="A163" s="118" t="str">
        <x:v>Tópico</x:v>
      </x:c>
      <x:c r="B163" s="88" t="str">
        <x:v>• Pivô (C15, C20): Centro × Origem muda tudo. Se o enunciado não diz o pivô da escala, teste os dois em C20, compare G34 e declare a suposição na resposta.</x:v>
      </x:c>
      <x:c r="C163" s="121" t="str"/>
    </x:row>
    <x:row r="164" ht="15" hidden="0" customHeight="1">
      <x:c r="A164" s="118" t="str">
        <x:v>Tópico</x:v>
      </x:c>
      <x:c r="B164" s="88" t="str">
        <x:v>• Target = Centro usa o centro após as transformações do objeto.</x:v>
      </x:c>
      <x:c r="C164" s="121" t="str"/>
    </x:row>
    <x:row r="165" ht="15" hidden="0" customHeight="1">
      <x:c r="A165" s="118" t="str">
        <x:v>Tópico</x:v>
      </x:c>
      <x:c r="B165" s="88" t="str">
        <x:v>• Rotação negativa gira no sentido horário.</x:v>
      </x:c>
      <x:c r="C165" s="121" t="str"/>
    </x:row>
    <x:row r="166" ht="15" hidden="0" customHeight="1">
      <x:c r="A166" s="118" t="str">
        <x:v>Tópico</x:v>
      </x:c>
      <x:c r="B166" s="88" t="str">
        <x:v>• Up paralelo à direção de visão → câmera inválida.</x:v>
      </x:c>
      <x:c r="C166" s="121" t="str"/>
    </x:row>
    <x:row r="167" ht="25.200000762939453" hidden="0" customHeight="1">
      <x:c r="A167" s="119" t="str">
        <x:v>Tópico</x:v>
      </x:c>
      <x:c r="B167" s="89" t="str">
        <x:v>• A ordem é fixa: rotação → escala → deslocamento. Se o enunciado pedir outra ordem, a planilha não serve diretamente (escreva M na ordem pedida).</x:v>
      </x:c>
      <x:c r="C167" s="122" t="str"/>
    </x:row>
    <x:row r="168" ht="15" hidden="0" customHeight="1">
      <x:c r="A168"/>
      <x:c r="B168"/>
      <x:c r="C168"/>
    </x:row>
    <x:row r="169" ht="24" hidden="0" customHeight="1">
      <x:c r="A169"/>
      <x:c r="B169"/>
      <x:c r="C169"/>
    </x:row>
  </x:sheetData>
  <x:pageMargins left="0.7" right="0.7" top="0.75" bottom="0.75" header="0.3" footer="0.3"/>
</x:worksheet>
</file>